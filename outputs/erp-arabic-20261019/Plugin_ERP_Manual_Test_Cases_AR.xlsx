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pcx\Desktop\Plugin_ERP\outputs\erp-arabic-20261019\"/>
    </mc:Choice>
  </mc:AlternateContent>
  <xr:revisionPtr revIDLastSave="0" documentId="13_ncr:1_{FBAD99CA-5E90-4ED9-AC8F-189169B9438F}" xr6:coauthVersionLast="47" xr6:coauthVersionMax="47" xr10:uidLastSave="{00000000-0000-0000-0000-000000000000}"/>
  <bookViews>
    <workbookView xWindow="-120" yWindow="-120" windowWidth="29040" windowHeight="15720" xr2:uid="{00000000-000D-0000-FFFF-FFFF00000000}"/>
  </bookViews>
  <sheets>
    <sheet name="ملخص التنفيذ" sheetId="1" r:id="rId1"/>
    <sheet name="الدخول" sheetId="2" r:id="rId2"/>
    <sheet name="البيانات الأساسية" sheetId="3" r:id="rId3"/>
    <sheet name="المتعاملون" sheetId="4" r:id="rId4"/>
    <sheet name="الأصناف" sheetId="5" r:id="rId5"/>
    <sheet name="المبيعات" sheetId="6" r:id="rId6"/>
    <sheet name="المشتريات" sheetId="7" r:id="rId7"/>
    <sheet name="المخازن" sheetId="8" r:id="rId8"/>
    <sheet name="الحركات المالية" sheetId="9" r:id="rId9"/>
    <sheet name="القيود اليومية" sheetId="10" r:id="rId10"/>
    <sheet name="تكامل مقترح" sheetId="11" r:id="rId11"/>
    <sheet name="تتبع الأوتوميشن" sheetId="12" r:id="rId12"/>
    <sheet name="دليل الاستخدام"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F15" i="1"/>
  <c r="E15" i="1"/>
  <c r="D15" i="1"/>
  <c r="C15" i="1"/>
  <c r="B15" i="1"/>
  <c r="G14" i="1"/>
  <c r="F14" i="1"/>
  <c r="E14" i="1"/>
  <c r="D14" i="1"/>
  <c r="C14" i="1"/>
  <c r="B14" i="1"/>
  <c r="G13" i="1"/>
  <c r="F13" i="1"/>
  <c r="E13" i="1"/>
  <c r="D13" i="1"/>
  <c r="C13" i="1"/>
  <c r="B13" i="1"/>
  <c r="G12" i="1"/>
  <c r="F12" i="1"/>
  <c r="E12" i="1"/>
  <c r="D12" i="1"/>
  <c r="C12" i="1"/>
  <c r="B12" i="1"/>
  <c r="G11" i="1"/>
  <c r="F11" i="1"/>
  <c r="E11" i="1"/>
  <c r="D11" i="1"/>
  <c r="C11" i="1"/>
  <c r="B11" i="1"/>
  <c r="G10" i="1"/>
  <c r="F10" i="1"/>
  <c r="E10" i="1"/>
  <c r="D10" i="1"/>
  <c r="C10" i="1"/>
  <c r="B10" i="1"/>
  <c r="G9" i="1"/>
  <c r="F9" i="1"/>
  <c r="E9" i="1"/>
  <c r="D9" i="1"/>
  <c r="C9" i="1"/>
  <c r="B9" i="1"/>
  <c r="G8" i="1"/>
  <c r="F8" i="1"/>
  <c r="E8" i="1"/>
  <c r="D8" i="1"/>
  <c r="C8" i="1"/>
  <c r="B8" i="1"/>
  <c r="G7" i="1"/>
  <c r="F7" i="1"/>
  <c r="E7" i="1"/>
  <c r="D7" i="1"/>
  <c r="C7" i="1"/>
  <c r="B7" i="1"/>
  <c r="G6" i="1"/>
  <c r="G17" i="1" s="1"/>
  <c r="F6" i="1"/>
  <c r="F17" i="1" s="1"/>
  <c r="E6" i="1"/>
  <c r="E17" i="1" s="1"/>
  <c r="D6" i="1"/>
  <c r="C6" i="1"/>
  <c r="C17" i="1" s="1"/>
  <c r="B6" i="1"/>
  <c r="B17" i="1" s="1"/>
  <c r="I15" i="1" l="1"/>
  <c r="H15" i="1"/>
  <c r="I14" i="1"/>
  <c r="H14" i="1"/>
  <c r="I13" i="1"/>
  <c r="H13" i="1"/>
  <c r="I12" i="1"/>
  <c r="H12" i="1"/>
  <c r="I11" i="1"/>
  <c r="H11" i="1"/>
  <c r="I10" i="1"/>
  <c r="H10" i="1"/>
  <c r="I9" i="1"/>
  <c r="H9" i="1"/>
  <c r="H8" i="1"/>
  <c r="I8" i="1"/>
  <c r="I7" i="1"/>
  <c r="H7" i="1"/>
  <c r="D17" i="1"/>
  <c r="I6" i="1"/>
  <c r="H6" i="1"/>
  <c r="H17" i="1" l="1"/>
  <c r="I17" i="1"/>
</calcChain>
</file>

<file path=xl/sharedStrings.xml><?xml version="1.0" encoding="utf-8"?>
<sst xmlns="http://schemas.openxmlformats.org/spreadsheetml/2006/main" count="12233" uniqueCount="3655">
  <si>
    <t>متابعة تنفيذ اختبارات Plugin ERP</t>
  </si>
  <si>
    <t>408 حالات مانويل | نتائج جديدة يبدأ تسجيلها عند التنفيذ | 19 أكتوبر 2026</t>
  </si>
  <si>
    <t>الموديول</t>
  </si>
  <si>
    <t>إجمالي الحالات</t>
  </si>
  <si>
    <t>لم تنفذ</t>
  </si>
  <si>
    <t>نجحت</t>
  </si>
  <si>
    <t>فشلت</t>
  </si>
  <si>
    <t>محجوبة</t>
  </si>
  <si>
    <t>غير منطبقة</t>
  </si>
  <si>
    <t>نسبة المنفذ</t>
  </si>
  <si>
    <t>نسبة النجاح</t>
  </si>
  <si>
    <t>الدخول</t>
  </si>
  <si>
    <t>البيانات الأساسية</t>
  </si>
  <si>
    <t>المتعاملون</t>
  </si>
  <si>
    <t>الأصناف</t>
  </si>
  <si>
    <t>المبيعات</t>
  </si>
  <si>
    <t>المشتريات</t>
  </si>
  <si>
    <t>المخازن</t>
  </si>
  <si>
    <t>الحركات المالية</t>
  </si>
  <si>
    <t>القيود اليومية</t>
  </si>
  <si>
    <t>تكامل مقترح</t>
  </si>
  <si>
    <t>الإجمالي</t>
  </si>
  <si>
    <t>نسبة المنفذ = نجحت وفشلت ÷ الإجمالي دون غير المنطبق؛ المحجوبة لا تعد تنفيذاً مكتملاً.</t>
  </si>
  <si>
    <t>نسبة النجاح = نجحت ÷ نجحت وفشلت؛ صفر مع عدم التنفيذ لا يعني فشل الحالات.</t>
  </si>
  <si>
    <t>كل تبويب موديول قابل للفلترة؛ راجع دليل الاستخدام قبل البدء.</t>
  </si>
  <si>
    <t>حالات الدخول</t>
  </si>
  <si>
    <t>19 أكتوبر 2026 | الحالات لم تُنفذ لهذا التسليم | الأصفر خانات يملؤها المختبِر</t>
  </si>
  <si>
    <t>رقم الحالة</t>
  </si>
  <si>
    <t>الشاشة</t>
  </si>
  <si>
    <t>السيناريو</t>
  </si>
  <si>
    <t>الأولوية</t>
  </si>
  <si>
    <t>المتطلبات السابقة</t>
  </si>
  <si>
    <t>بيانات الاختبار</t>
  </si>
  <si>
    <t>خطوات التنفيذ</t>
  </si>
  <si>
    <t>النتيجة المتوقعة</t>
  </si>
  <si>
    <t>حالة التنفيذ</t>
  </si>
  <si>
    <t>النتيجة الفعلية</t>
  </si>
  <si>
    <t>المختبِر</t>
  </si>
  <si>
    <t>تاريخ التنفيذ</t>
  </si>
  <si>
    <t>رقم العيب</t>
  </si>
  <si>
    <t>التنظيف بعد المجموعة</t>
  </si>
  <si>
    <t>مرجع المشروع</t>
  </si>
  <si>
    <t>أساس الحالة</t>
  </si>
  <si>
    <t>نوع الاختبار</t>
  </si>
  <si>
    <t>ملاحظات المراجعة</t>
  </si>
  <si>
    <t>LG-001</t>
  </si>
  <si>
    <t>تسجيل الدخول</t>
  </si>
  <si>
    <t>الدخول بحساب صحيح</t>
  </si>
  <si>
    <t>عالية</t>
  </si>
  <si>
    <t>بيئة اختبار وفرع محدد وصلاحية للشاشة. جهّز السجلات المذكورة بأسماء QA-MAN-&lt;التاريخ&gt;-&lt;رقم الحالة&gt;؛ لا تستخدم بيانات تشغيل فعلية.</t>
  </si>
  <si>
    <t>حساب اختبار فعال وكلمة المرور المعتمدة؛ لا تكتب كلمة المرور في الملف.</t>
  </si>
  <si>
    <t>1. افتح رابط بيئة الاختبار وصفحة الدخول.
2. اكتب بيانات الحساب المعتمد واضغط تسجيل الدخول.
3. انتظر تحميل التطبيق وتحقق من اسم الشركة والفرع وإمكانية فتح شاشة مصرح بها.</t>
  </si>
  <si>
    <t>يفتح التطبيق للحساب الصحيح والفرع المقصود؛ لا يكفي فحص عنوان صفحة الدخول.</t>
  </si>
  <si>
    <t>سجّل أكواد السجلات المنشأة. بعد مجموعة الصفحة احذف التابع قبل المرجع، وتأكد من عودة الأرصدة. الفواتير المقيدة أو غير القابلة للحذف تُعالج بإجراء معتمد مع مسؤول البيئة.</t>
  </si>
  <si>
    <t>src/test/java/Plugin_ERP/Tests/LoginTest/LoginTest.java</t>
  </si>
  <si>
    <t>مستخرج من المشروع</t>
  </si>
  <si>
    <t>وظيفي</t>
  </si>
  <si>
    <t>التحقق اليدوي أوسع من التحقق الحالي في LoginTest؛ BaseTest ينفذ الدخول مسبقاً.</t>
  </si>
  <si>
    <t>LG-002</t>
  </si>
  <si>
    <t>رفض كلمة مرور غير صحيحة</t>
  </si>
  <si>
    <t>اسم مستخدم اختبار صحيح وكلمة مرور غير صحيحة.</t>
  </si>
  <si>
    <t>1. افتح جلسة متصفح جديدة على صفحة الدخول.
2. أدخل بيانات الحالة ثم اضغط تسجيل الدخول.
3. حاول فتح شاشة محمية من نفس الجلسة.</t>
  </si>
  <si>
    <t>لا تنشأ جلسة مصرح بها، وتظهر إشارة رفض أو تحقق مناسبة دون كشف بيانات الحساب.</t>
  </si>
  <si>
    <t>مقترح يحتاج اعتماد</t>
  </si>
  <si>
    <t>اختبار InvalidLoginTest الحالي يفحص العنوان؛ لا يثبت وحده رفض المصادقة.</t>
  </si>
  <si>
    <t>LG-003</t>
  </si>
  <si>
    <t>رفض الحقول الفارغة</t>
  </si>
  <si>
    <t>اترك اسم المستخدم وكلمة المرور فارغين.</t>
  </si>
  <si>
    <t>حالات البيانات الأساسية</t>
  </si>
  <si>
    <t>BD-001</t>
  </si>
  <si>
    <t>المناطق</t>
  </si>
  <si>
    <t>إضافة سجل صحيح وإعادة فتحه</t>
  </si>
  <si>
    <t>اسم عربي فريد واسم إنجليزي</t>
  </si>
  <si>
    <t>1. افتح شاشة المناطق واضغط جديد.
2. أدخل اسم عربي فريد واسم إنجليزي ثم احفظ.
3. دوّن الكود وابحث بالاسم الفريد، ثم افتح نفس السجل.</t>
  </si>
  <si>
    <t>يظهر سجل واحد بالقيم المحفوظة والروابط الصحيحة، ولا يحدث تغيير في سجلات أخرى.</t>
  </si>
  <si>
    <t>src/test/java/Plugin_ERP/Tests/LoginTest/BasicDataTest/AreaTest.java</t>
  </si>
  <si>
    <t>الخطوات صياغة مانويل للمراجعة؛ طابق أسماء الحقول مع النسخة الحالية. بعض طرق المشروع القديمة تنفذ عمليات مجمعة.</t>
  </si>
  <si>
    <t>BD-002</t>
  </si>
  <si>
    <t>تعديل سجل الاختبار وحفظ التغيير</t>
  </si>
  <si>
    <t>اسم عربي فريد واسم إنجليزي؛ غيّر الاسم بإضافة EDIT.</t>
  </si>
  <si>
    <t>1. أنشئ سجلاً مستقلاً في المناطق وسجل كوده.
2. افتح تعديل نفس السجل وغيّر الاسم إلى الاسم المنتهي بـ EDIT ثم احفظ.
3. أعد فتح السجل باستخدام الكود.</t>
  </si>
  <si>
    <t>يبقى الكود نفسه وتظهر القيمة الجديدة بعد إعادة الفتح دون إنشاء سجل إضافي.</t>
  </si>
  <si>
    <t>BD-003</t>
  </si>
  <si>
    <t>إلغاء تعديل دون حفظ</t>
  </si>
  <si>
    <t>متوسطة</t>
  </si>
  <si>
    <t>اسم عربي فريد واسم إنجليزي؛ اسم مؤقت UNSAVED.</t>
  </si>
  <si>
    <t>1. أنشئ سجلاً مستقلاً في المناطق وسجل الاسم الأصلي.
2. افتحه للتعديل واكتب UNSAVED ثم أغلق دون حفظ.
3. أعد فتح نفس السجل.</t>
  </si>
  <si>
    <t>يظهر الاسم الأصلي ولا يحفظ التعديل المؤقت.</t>
  </si>
  <si>
    <t>BD-004</t>
  </si>
  <si>
    <t>حذف سجل اختباري غير مرتبط</t>
  </si>
  <si>
    <t>اسم عربي فريد واسم إنجليزي؛ سجل لا يرتبط بحركات أو مستندات.</t>
  </si>
  <si>
    <t>1. أنشئ سجلاً مستقلاً في المناطق وسجل كوده واسمه.
2. اطلب حذفه وأكد العملية.
3. ابحث بالاسم والكود وتحقق من بقاء سجل مرجعي آخر.</t>
  </si>
  <si>
    <t>يختفي السجل المقصود فقط، ويظل السجل المرجعي موجوداً. إذا وجد ارتباط فعلي لا تُفسّر حماية الحذف كعيب.</t>
  </si>
  <si>
    <t>BD-005</t>
  </si>
  <si>
    <t>البحث عن سجل محدد ثم إعادة البحث</t>
  </si>
  <si>
    <t>اسم عربي فريد واسم إنجليزي؛ اسمان مختلفان وكلمة QA-NO-MATCH-UNIQUE.</t>
  </si>
  <si>
    <t>1. أنشئ سجلين مختلفين في المناطق.
2. ابحث بالاسم الكامل للسجل الأول وسجل النتائج.
3. ابحث بالكلمة غير الموجودة ثم امسح البحث.</t>
  </si>
  <si>
    <t>تطابق نتائج البحث المعيار المدخل؛ لا تبقى نتائج البحث السابق عند عدم التطابق، وتعود القائمة بعد مسح البحث.</t>
  </si>
  <si>
    <t>BD-006</t>
  </si>
  <si>
    <t>التحقق من الاسم العربي المطلوب</t>
  </si>
  <si>
    <t>بيانات صحيحة لبقية الحقول؛ الاسم العربي فارغ.</t>
  </si>
  <si>
    <t>1. افتح إضافة سجل جديد في المناطق.
2. أكمل بقية الحقول المطلوبة واترك الاسم العربي فارغاً.
3. اضغط حفظ ثم ابحث عن أي سجل نتج عن المحاولة.</t>
  </si>
  <si>
    <t>يرفض الحفظ مع إشارة للحقول المطلوبة ولا ينشأ سجل ناقص.</t>
  </si>
  <si>
    <t>BD-007</t>
  </si>
  <si>
    <t>البنوك</t>
  </si>
  <si>
    <t>اسم عربي فريد وحساب محاسبي اختباري صالح</t>
  </si>
  <si>
    <t>1. افتح شاشة البنوك واضغط جديد.
2. أدخل اسم عربي فريد وحساب محاسبي اختباري صالح ثم احفظ.
3. دوّن الكود وابحث بالاسم الفريد، ثم افتح نفس السجل.</t>
  </si>
  <si>
    <t>src/test/java/Plugin_ERP/Tests/LoginTest/BasicDataTest/BankTest.java</t>
  </si>
  <si>
    <t>BD-008</t>
  </si>
  <si>
    <t>اسم عربي فريد وحساب محاسبي اختباري صالح؛ غيّر الاسم بإضافة EDIT.</t>
  </si>
  <si>
    <t>1. أنشئ سجلاً مستقلاً في البنوك وسجل كوده.
2. افتح تعديل نفس السجل وغيّر الاسم إلى الاسم المنتهي بـ EDIT ثم احفظ.
3. أعد فتح السجل باستخدام الكود.</t>
  </si>
  <si>
    <t>BD-009</t>
  </si>
  <si>
    <t>اسم عربي فريد وحساب محاسبي اختباري صالح؛ اسم مؤقت UNSAVED.</t>
  </si>
  <si>
    <t>1. أنشئ سجلاً مستقلاً في البنوك وسجل الاسم الأصلي.
2. افتحه للتعديل واكتب UNSAVED ثم أغلق دون حفظ.
3. أعد فتح نفس السجل.</t>
  </si>
  <si>
    <t>BD-010</t>
  </si>
  <si>
    <t>اسم عربي فريد وحساب محاسبي اختباري صالح؛ سجل لا يرتبط بحركات أو مستندات.</t>
  </si>
  <si>
    <t>1. أنشئ سجلاً مستقلاً في البنوك وسجل كوده واسمه.
2. اطلب حذفه وأكد العملية.
3. ابحث بالاسم والكود وتحقق من بقاء سجل مرجعي آخر.</t>
  </si>
  <si>
    <t>BD-011</t>
  </si>
  <si>
    <t>اسم عربي فريد وحساب محاسبي اختباري صالح؛ اسمان مختلفان وكلمة QA-NO-MATCH-UNIQUE.</t>
  </si>
  <si>
    <t>1. أنشئ سجلين مختلفين في البنوك.
2. ابحث بالاسم الكامل للسجل الأول وسجل النتائج.
3. ابحث بالكلمة غير الموجودة ثم امسح البحث.</t>
  </si>
  <si>
    <t>BD-012</t>
  </si>
  <si>
    <t>1. افتح إضافة سجل جديد في البنوك.
2. أكمل بقية الحقول المطلوبة واترك الاسم العربي فارغاً.
3. اضغط حفظ ثم ابحث عن أي سجل نتج عن المحاولة.</t>
  </si>
  <si>
    <t>BD-013</t>
  </si>
  <si>
    <t>الخزائن</t>
  </si>
  <si>
    <t>1. افتح شاشة الخزائن واضغط جديد.
2. أدخل اسم عربي فريد وحساب محاسبي اختباري صالح ثم احفظ.
3. دوّن الكود وابحث بالاسم الفريد، ثم افتح نفس السجل.</t>
  </si>
  <si>
    <t>src/test/java/Plugin_ERP/Tests/LoginTest/BasicDataTest/CashTest.java</t>
  </si>
  <si>
    <t>BD-014</t>
  </si>
  <si>
    <t>1. أنشئ سجلاً مستقلاً في الخزائن وسجل كوده.
2. افتح تعديل نفس السجل وغيّر الاسم إلى الاسم المنتهي بـ EDIT ثم احفظ.
3. أعد فتح السجل باستخدام الكود.</t>
  </si>
  <si>
    <t>BD-015</t>
  </si>
  <si>
    <t>1. أنشئ سجلاً مستقلاً في الخزائن وسجل الاسم الأصلي.
2. افتحه للتعديل واكتب UNSAVED ثم أغلق دون حفظ.
3. أعد فتح نفس السجل.</t>
  </si>
  <si>
    <t>BD-016</t>
  </si>
  <si>
    <t>1. أنشئ سجلاً مستقلاً في الخزائن وسجل كوده واسمه.
2. اطلب حذفه وأكد العملية.
3. ابحث بالاسم والكود وتحقق من بقاء سجل مرجعي آخر.</t>
  </si>
  <si>
    <t>BD-017</t>
  </si>
  <si>
    <t>1. أنشئ سجلين مختلفين في الخزائن.
2. ابحث بالاسم الكامل للسجل الأول وسجل النتائج.
3. ابحث بالكلمة غير الموجودة ثم امسح البحث.</t>
  </si>
  <si>
    <t>BD-018</t>
  </si>
  <si>
    <t>1. افتح إضافة سجل جديد في الخزائن.
2. أكمل بقية الحقول المطلوبة واترك الاسم العربي فارغاً.
3. اضغط حفظ ثم ابحث عن أي سجل نتج عن المحاولة.</t>
  </si>
  <si>
    <t>BD-019</t>
  </si>
  <si>
    <t>جهات الصرف</t>
  </si>
  <si>
    <t>اسم عربي فريد</t>
  </si>
  <si>
    <t>1. افتح شاشة جهات الصرف واضغط جديد.
2. أدخل اسم عربي فريد ثم احفظ.
3. دوّن الكود وابحث بالاسم الفريد، ثم افتح نفس السجل.</t>
  </si>
  <si>
    <t>src/test/java/Plugin_ERP/Tests/LoginTest/BasicDataTest/DisEntTest.java</t>
  </si>
  <si>
    <t>BD-020</t>
  </si>
  <si>
    <t>اسم عربي فريد؛ غيّر الاسم بإضافة EDIT.</t>
  </si>
  <si>
    <t>1. أنشئ سجلاً مستقلاً في جهات الصرف وسجل كوده.
2. افتح تعديل نفس السجل وغيّر الاسم إلى الاسم المنتهي بـ EDIT ثم احفظ.
3. أعد فتح السجل باستخدام الكود.</t>
  </si>
  <si>
    <t>BD-021</t>
  </si>
  <si>
    <t>اسم عربي فريد؛ اسم مؤقت UNSAVED.</t>
  </si>
  <si>
    <t>1. أنشئ سجلاً مستقلاً في جهات الصرف وسجل الاسم الأصلي.
2. افتحه للتعديل واكتب UNSAVED ثم أغلق دون حفظ.
3. أعد فتح نفس السجل.</t>
  </si>
  <si>
    <t>BD-022</t>
  </si>
  <si>
    <t>اسم عربي فريد؛ سجل لا يرتبط بحركات أو مستندات.</t>
  </si>
  <si>
    <t>1. أنشئ سجلاً مستقلاً في جهات الصرف وسجل كوده واسمه.
2. اطلب حذفه وأكد العملية.
3. ابحث بالاسم والكود وتحقق من بقاء سجل مرجعي آخر.</t>
  </si>
  <si>
    <t>BD-023</t>
  </si>
  <si>
    <t>اسم عربي فريد؛ اسمان مختلفان وكلمة QA-NO-MATCH-UNIQUE.</t>
  </si>
  <si>
    <t>1. أنشئ سجلين مختلفين في جهات الصرف.
2. ابحث بالاسم الكامل للسجل الأول وسجل النتائج.
3. ابحث بالكلمة غير الموجودة ثم امسح البحث.</t>
  </si>
  <si>
    <t>BD-024</t>
  </si>
  <si>
    <t>1. افتح إضافة سجل جديد في جهات الصرف.
2. أكمل بقية الحقول المطلوبة واترك الاسم العربي فارغاً.
3. اضغط حفظ ثم ابحث عن أي سجل نتج عن المحاولة.</t>
  </si>
  <si>
    <t>BD-025</t>
  </si>
  <si>
    <t>أنواع المصروفات</t>
  </si>
  <si>
    <t>اسم عربي فريد وحساب مصروف اختباري</t>
  </si>
  <si>
    <t>1. افتح شاشة أنواع المصروفات واضغط جديد.
2. أدخل اسم عربي فريد وحساب مصروف اختباري ثم احفظ.
3. دوّن الكود وابحث بالاسم الفريد، ثم افتح نفس السجل.</t>
  </si>
  <si>
    <t>src/test/java/Plugin_ERP/Tests/LoginTest/BasicDataTest/ExpensesTest.java</t>
  </si>
  <si>
    <t>BD-026</t>
  </si>
  <si>
    <t>اسم عربي فريد وحساب مصروف اختباري؛ غيّر الاسم بإضافة EDIT.</t>
  </si>
  <si>
    <t>1. أنشئ سجلاً مستقلاً في أنواع المصروفات وسجل كوده.
2. افتح تعديل نفس السجل وغيّر الاسم إلى الاسم المنتهي بـ EDIT ثم احفظ.
3. أعد فتح السجل باستخدام الكود.</t>
  </si>
  <si>
    <t>BD-027</t>
  </si>
  <si>
    <t>اسم عربي فريد وحساب مصروف اختباري؛ اسم مؤقت UNSAVED.</t>
  </si>
  <si>
    <t>1. أنشئ سجلاً مستقلاً في أنواع المصروفات وسجل الاسم الأصلي.
2. افتحه للتعديل واكتب UNSAVED ثم أغلق دون حفظ.
3. أعد فتح نفس السجل.</t>
  </si>
  <si>
    <t>BD-028</t>
  </si>
  <si>
    <t>اسم عربي فريد وحساب مصروف اختباري؛ سجل لا يرتبط بحركات أو مستندات.</t>
  </si>
  <si>
    <t>1. أنشئ سجلاً مستقلاً في أنواع المصروفات وسجل كوده واسمه.
2. اطلب حذفه وأكد العملية.
3. ابحث بالاسم والكود وتحقق من بقاء سجل مرجعي آخر.</t>
  </si>
  <si>
    <t>BD-029</t>
  </si>
  <si>
    <t>اسم عربي فريد وحساب مصروف اختباري؛ اسمان مختلفان وكلمة QA-NO-MATCH-UNIQUE.</t>
  </si>
  <si>
    <t>1. أنشئ سجلين مختلفين في أنواع المصروفات.
2. ابحث بالاسم الكامل للسجل الأول وسجل النتائج.
3. ابحث بالكلمة غير الموجودة ثم امسح البحث.</t>
  </si>
  <si>
    <t>BD-030</t>
  </si>
  <si>
    <t>1. افتح إضافة سجل جديد في أنواع المصروفات.
2. أكمل بقية الحقول المطلوبة واترك الاسم العربي فارغاً.
3. اضغط حفظ ثم ابحث عن أي سجل نتج عن المحاولة.</t>
  </si>
  <si>
    <t>BD-031</t>
  </si>
  <si>
    <t>وسائل الدفع</t>
  </si>
  <si>
    <t>اسم عربي فريد وربط بنك أو خزينة حسب الخيارات الفعلية</t>
  </si>
  <si>
    <t>1. افتح شاشة وسائل الدفع واضغط جديد.
2. أدخل اسم عربي فريد وربط بنك أو خزينة حسب الخيارات الفعلية ثم احفظ.
3. دوّن الكود وابحث بالاسم الفريد، ثم افتح نفس السجل.</t>
  </si>
  <si>
    <t>src/test/java/Plugin_ERP/Tests/LoginTest/BasicDataTest/PaymentTest.java</t>
  </si>
  <si>
    <t>BD-032</t>
  </si>
  <si>
    <t>اسم عربي فريد وربط بنك أو خزينة حسب الخيارات الفعلية؛ غيّر الاسم بإضافة EDIT.</t>
  </si>
  <si>
    <t>1. أنشئ سجلاً مستقلاً في وسائل الدفع وسجل كوده.
2. افتح تعديل نفس السجل وغيّر الاسم إلى الاسم المنتهي بـ EDIT ثم احفظ.
3. أعد فتح السجل باستخدام الكود.</t>
  </si>
  <si>
    <t>BD-033</t>
  </si>
  <si>
    <t>اسم عربي فريد وربط بنك أو خزينة حسب الخيارات الفعلية؛ اسم مؤقت UNSAVED.</t>
  </si>
  <si>
    <t>1. أنشئ سجلاً مستقلاً في وسائل الدفع وسجل الاسم الأصلي.
2. افتحه للتعديل واكتب UNSAVED ثم أغلق دون حفظ.
3. أعد فتح نفس السجل.</t>
  </si>
  <si>
    <t>BD-034</t>
  </si>
  <si>
    <t>اسم عربي فريد وربط بنك أو خزينة حسب الخيارات الفعلية؛ سجل لا يرتبط بحركات أو مستندات.</t>
  </si>
  <si>
    <t>1. أنشئ سجلاً مستقلاً في وسائل الدفع وسجل كوده واسمه.
2. اطلب حذفه وأكد العملية.
3. ابحث بالاسم والكود وتحقق من بقاء سجل مرجعي آخر.</t>
  </si>
  <si>
    <t>BD-035</t>
  </si>
  <si>
    <t>اسم عربي فريد وربط بنك أو خزينة حسب الخيارات الفعلية؛ اسمان مختلفان وكلمة QA-NO-MATCH-UNIQUE.</t>
  </si>
  <si>
    <t>1. أنشئ سجلين مختلفين في وسائل الدفع.
2. ابحث بالاسم الكامل للسجل الأول وسجل النتائج.
3. ابحث بالكلمة غير الموجودة ثم امسح البحث.</t>
  </si>
  <si>
    <t>BD-036</t>
  </si>
  <si>
    <t>1. افتح إضافة سجل جديد في وسائل الدفع.
2. أكمل بقية الحقول المطلوبة واترك الاسم العربي فارغاً.
3. اضغط حفظ ثم ابحث عن أي سجل نتج عن المحاولة.</t>
  </si>
  <si>
    <t>BD-037</t>
  </si>
  <si>
    <t>أنواع الإيرادات</t>
  </si>
  <si>
    <t>اسم عربي فريد وحساب إيراد اختباري</t>
  </si>
  <si>
    <t>1. افتح شاشة أنواع الإيرادات واضغط جديد.
2. أدخل اسم عربي فريد وحساب إيراد اختباري ثم احفظ.
3. دوّن الكود وابحث بالاسم الفريد، ثم افتح نفس السجل.</t>
  </si>
  <si>
    <t>src/test/java/Plugin_ERP/Tests/LoginTest/BasicDataTest/RevenuesTest.java</t>
  </si>
  <si>
    <t>BD-038</t>
  </si>
  <si>
    <t>اسم عربي فريد وحساب إيراد اختباري؛ غيّر الاسم بإضافة EDIT.</t>
  </si>
  <si>
    <t>1. أنشئ سجلاً مستقلاً في أنواع الإيرادات وسجل كوده.
2. افتح تعديل نفس السجل وغيّر الاسم إلى الاسم المنتهي بـ EDIT ثم احفظ.
3. أعد فتح السجل باستخدام الكود.</t>
  </si>
  <si>
    <t>BD-039</t>
  </si>
  <si>
    <t>اسم عربي فريد وحساب إيراد اختباري؛ اسم مؤقت UNSAVED.</t>
  </si>
  <si>
    <t>1. أنشئ سجلاً مستقلاً في أنواع الإيرادات وسجل الاسم الأصلي.
2. افتحه للتعديل واكتب UNSAVED ثم أغلق دون حفظ.
3. أعد فتح نفس السجل.</t>
  </si>
  <si>
    <t>BD-040</t>
  </si>
  <si>
    <t>اسم عربي فريد وحساب إيراد اختباري؛ سجل لا يرتبط بحركات أو مستندات.</t>
  </si>
  <si>
    <t>1. أنشئ سجلاً مستقلاً في أنواع الإيرادات وسجل كوده واسمه.
2. اطلب حذفه وأكد العملية.
3. ابحث بالاسم والكود وتحقق من بقاء سجل مرجعي آخر.</t>
  </si>
  <si>
    <t>BD-041</t>
  </si>
  <si>
    <t>اسم عربي فريد وحساب إيراد اختباري؛ اسمان مختلفان وكلمة QA-NO-MATCH-UNIQUE.</t>
  </si>
  <si>
    <t>1. أنشئ سجلين مختلفين في أنواع الإيرادات.
2. ابحث بالاسم الكامل للسجل الأول وسجل النتائج.
3. ابحث بالكلمة غير الموجودة ثم امسح البحث.</t>
  </si>
  <si>
    <t>BD-042</t>
  </si>
  <si>
    <t>1. افتح إضافة سجل جديد في أنواع الإيرادات.
2. أكمل بقية الحقول المطلوبة واترك الاسم العربي فارغاً.
3. اضغط حفظ ثم ابحث عن أي سجل نتج عن المحاولة.</t>
  </si>
  <si>
    <t>BD-043</t>
  </si>
  <si>
    <t>حالات خط السير</t>
  </si>
  <si>
    <t>1. افتح شاشة حالات خط السير واضغط جديد.
2. أدخل اسم عربي فريد ثم احفظ.
3. دوّن الكود وابحث بالاسم الفريد، ثم افتح نفس السجل.</t>
  </si>
  <si>
    <t>src/test/java/Plugin_ERP/Tests/LoginTest/BasicDataTest/RoutLineTest.java</t>
  </si>
  <si>
    <t>BD-044</t>
  </si>
  <si>
    <t>1. أنشئ سجلاً مستقلاً في حالات خط السير وسجل كوده.
2. افتح تعديل نفس السجل وغيّر الاسم إلى الاسم المنتهي بـ EDIT ثم احفظ.
3. أعد فتح السجل باستخدام الكود.</t>
  </si>
  <si>
    <t>BD-045</t>
  </si>
  <si>
    <t>1. أنشئ سجلاً مستقلاً في حالات خط السير وسجل الاسم الأصلي.
2. افتحه للتعديل واكتب UNSAVED ثم أغلق دون حفظ.
3. أعد فتح نفس السجل.</t>
  </si>
  <si>
    <t>BD-046</t>
  </si>
  <si>
    <t>1. أنشئ سجلاً مستقلاً في حالات خط السير وسجل كوده واسمه.
2. اطلب حذفه وأكد العملية.
3. ابحث بالاسم والكود وتحقق من بقاء سجل مرجعي آخر.</t>
  </si>
  <si>
    <t>BD-047</t>
  </si>
  <si>
    <t>1. أنشئ سجلين مختلفين في حالات خط السير.
2. ابحث بالاسم الكامل للسجل الأول وسجل النتائج.
3. ابحث بالكلمة غير الموجودة ثم امسح البحث.</t>
  </si>
  <si>
    <t>BD-048</t>
  </si>
  <si>
    <t>1. افتح إضافة سجل جديد في حالات خط السير.
2. أكمل بقية الحقول المطلوبة واترك الاسم العربي فارغاً.
3. اضغط حفظ ثم ابحث عن أي سجل نتج عن المحاولة.</t>
  </si>
  <si>
    <t>BD-049</t>
  </si>
  <si>
    <t>المخازن الأساسية</t>
  </si>
  <si>
    <t>اسم عربي فريد وحسابات مخزن اختبارية</t>
  </si>
  <si>
    <t>1. افتح شاشة المخازن الأساسية واضغط جديد.
2. أدخل اسم عربي فريد وحسابات مخزن اختبارية ثم احفظ.
3. دوّن الكود وابحث بالاسم الفريد، ثم افتح نفس السجل.</t>
  </si>
  <si>
    <t>src/test/java/Plugin_ERP/Tests/LoginTest/BasicDataTest/StoreTest.java</t>
  </si>
  <si>
    <t>BD-050</t>
  </si>
  <si>
    <t>اسم عربي فريد وحسابات مخزن اختبارية؛ غيّر الاسم بإضافة EDIT.</t>
  </si>
  <si>
    <t>1. أنشئ سجلاً مستقلاً في المخازن الأساسية وسجل كوده.
2. افتح تعديل نفس السجل وغيّر الاسم إلى الاسم المنتهي بـ EDIT ثم احفظ.
3. أعد فتح السجل باستخدام الكود.</t>
  </si>
  <si>
    <t>BD-051</t>
  </si>
  <si>
    <t>اسم عربي فريد وحسابات مخزن اختبارية؛ اسم مؤقت UNSAVED.</t>
  </si>
  <si>
    <t>1. أنشئ سجلاً مستقلاً في المخازن الأساسية وسجل الاسم الأصلي.
2. افتحه للتعديل واكتب UNSAVED ثم أغلق دون حفظ.
3. أعد فتح نفس السجل.</t>
  </si>
  <si>
    <t>BD-052</t>
  </si>
  <si>
    <t>اسم عربي فريد وحسابات مخزن اختبارية؛ سجل لا يرتبط بحركات أو مستندات.</t>
  </si>
  <si>
    <t>1. أنشئ سجلاً مستقلاً في المخازن الأساسية وسجل كوده واسمه.
2. اطلب حذفه وأكد العملية.
3. ابحث بالاسم والكود وتحقق من بقاء سجل مرجعي آخر.</t>
  </si>
  <si>
    <t>BD-053</t>
  </si>
  <si>
    <t>اسم عربي فريد وحسابات مخزن اختبارية؛ اسمان مختلفان وكلمة QA-NO-MATCH-UNIQUE.</t>
  </si>
  <si>
    <t>1. أنشئ سجلين مختلفين في المخازن الأساسية.
2. ابحث بالاسم الكامل للسجل الأول وسجل النتائج.
3. ابحث بالكلمة غير الموجودة ثم امسح البحث.</t>
  </si>
  <si>
    <t>BD-054</t>
  </si>
  <si>
    <t>1. افتح إضافة سجل جديد في المخازن الأساسية.
2. أكمل بقية الحقول المطلوبة واترك الاسم العربي فارغاً.
3. اضغط حفظ ثم ابحث عن أي سجل نتج عن المحاولة.</t>
  </si>
  <si>
    <t>BD-055</t>
  </si>
  <si>
    <t>أنواع الخصم</t>
  </si>
  <si>
    <t>اسم عربي فريد وإعداد الخصم الظاهر في الشاشة</t>
  </si>
  <si>
    <t>1. افتح شاشة أنواع الخصم واضغط جديد.
2. أدخل اسم عربي فريد وإعداد الخصم الظاهر في الشاشة ثم احفظ.
3. دوّن الكود وابحث بالاسم الفريد، ثم افتح نفس السجل.</t>
  </si>
  <si>
    <t>src/test/java/Plugin_ERP/Tests/LoginTest/BasicDataTest/TaypeOfDiscountTest.java</t>
  </si>
  <si>
    <t>BD-056</t>
  </si>
  <si>
    <t>اسم عربي فريد وإعداد الخصم الظاهر في الشاشة؛ غيّر الاسم بإضافة EDIT.</t>
  </si>
  <si>
    <t>1. أنشئ سجلاً مستقلاً في أنواع الخصم وسجل كوده.
2. افتح تعديل نفس السجل وغيّر الاسم إلى الاسم المنتهي بـ EDIT ثم احفظ.
3. أعد فتح السجل باستخدام الكود.</t>
  </si>
  <si>
    <t>BD-057</t>
  </si>
  <si>
    <t>اسم عربي فريد وإعداد الخصم الظاهر في الشاشة؛ اسم مؤقت UNSAVED.</t>
  </si>
  <si>
    <t>1. أنشئ سجلاً مستقلاً في أنواع الخصم وسجل الاسم الأصلي.
2. افتحه للتعديل واكتب UNSAVED ثم أغلق دون حفظ.
3. أعد فتح نفس السجل.</t>
  </si>
  <si>
    <t>BD-058</t>
  </si>
  <si>
    <t>اسم عربي فريد وإعداد الخصم الظاهر في الشاشة؛ سجل لا يرتبط بحركات أو مستندات.</t>
  </si>
  <si>
    <t>1. أنشئ سجلاً مستقلاً في أنواع الخصم وسجل كوده واسمه.
2. اطلب حذفه وأكد العملية.
3. ابحث بالاسم والكود وتحقق من بقاء سجل مرجعي آخر.</t>
  </si>
  <si>
    <t>BD-059</t>
  </si>
  <si>
    <t>اسم عربي فريد وإعداد الخصم الظاهر في الشاشة؛ اسمان مختلفان وكلمة QA-NO-MATCH-UNIQUE.</t>
  </si>
  <si>
    <t>1. أنشئ سجلين مختلفين في أنواع الخصم.
2. ابحث بالاسم الكامل للسجل الأول وسجل النتائج.
3. ابحث بالكلمة غير الموجودة ثم امسح البحث.</t>
  </si>
  <si>
    <t>BD-060</t>
  </si>
  <si>
    <t>1. افتح إضافة سجل جديد في أنواع الخصم.
2. أكمل بقية الحقول المطلوبة واترك الاسم العربي فارغاً.
3. اضغط حفظ ثم ابحث عن أي سجل نتج عن المحاولة.</t>
  </si>
  <si>
    <t>BD-061</t>
  </si>
  <si>
    <t>تسليم الخزينة</t>
  </si>
  <si>
    <t>إضافة تسليم خزينة</t>
  </si>
  <si>
    <t>مستخدم اختبار مستقل وخزينة اختبارية؛ رصيد افتتاحي 1000.</t>
  </si>
  <si>
    <t>1. افتح تسليم الخزينة واضغط جديد.
2. اختر المستخدم والخزينة وأدخل الرصيد 1000 ثم احفظ.
3. ابحث عن التسليم وافتحه وتحقق من المستخدم والخزينة والرصيد.</t>
  </si>
  <si>
    <t>يظهر تسليم واحد بالقيم المحددة؛ لا تستخدم مستخدم admin أو خزينة تشغيل فعلية.</t>
  </si>
  <si>
    <t>src/test/java/Plugin_ERP/Tests/LoginTest/BasicDataTest/TreasuryHandoverTest.java</t>
  </si>
  <si>
    <t>الكود القديم يستخدم أسماء ثابتة وبعض تحقق الحفظ معلق؛ الصياغة اليدوية تضيف إعادة فتح للتحقق الفعلي.</t>
  </si>
  <si>
    <t>BD-062</t>
  </si>
  <si>
    <t>رفض تكرار تسليم مفتوح لنفس المستخدم</t>
  </si>
  <si>
    <t>مستخدم لديه تسليم خزينة مفتوح معروف الكود.</t>
  </si>
  <si>
    <t>1. تحقق من وجود التسليم الأول.
2. حاول إنشاء تسليم جديد لنفس المستخدم قبل إغلاق الأول.
3. راجع الرسالة والقائمة.</t>
  </si>
  <si>
    <t>يرفض إنشاء التسليم المكرر وتبقى هوية التسليم الأول.</t>
  </si>
  <si>
    <t>BD-063</t>
  </si>
  <si>
    <t>مراجعة وإغلاق تسليم وطباعة التقرير</t>
  </si>
  <si>
    <t>تسليم اختباري؛ رصيد افتتاحي وحركات اختبارية معروفة.</t>
  </si>
  <si>
    <t>1. افتح نفس التسليم للمراجعة وسجل الرصيد عند الإغلاق.
2. نفذ إجراء الإغلاق والحفظ والطباعة المتاح.
3. قارن إجمالي التقرير بالإجمالي المعروض عند الإغلاق.</t>
  </si>
  <si>
    <t>تتطابق الأرصدة والتقرير مع نفس التسليم؛ سجل أي فرق مع الحركات المكونة له.</t>
  </si>
  <si>
    <t>حالات المتعاملون</t>
  </si>
  <si>
    <t>DL-001</t>
  </si>
  <si>
    <t>العملاء</t>
  </si>
  <si>
    <t>اسم عربي فريد وتصنيف ومنطقة وحساب عميل مستقل</t>
  </si>
  <si>
    <t>1. افتح شاشة العملاء واضغط جديد.
2. أدخل اسم عربي فريد وتصنيف ومنطقة وحساب عميل مستقل ثم احفظ.
3. دوّن الكود وابحث بالاسم الفريد، ثم افتح نفس السجل.</t>
  </si>
  <si>
    <t>src/test/java/DealerModelTest/CustomersTest.java</t>
  </si>
  <si>
    <t>DL-002</t>
  </si>
  <si>
    <t>اسم عربي فريد وتصنيف ومنطقة وحساب عميل مستقل؛ غيّر الاسم بإضافة EDIT.</t>
  </si>
  <si>
    <t>1. أنشئ سجلاً مستقلاً في العملاء وسجل كوده.
2. افتح تعديل نفس السجل وغيّر الاسم إلى الاسم المنتهي بـ EDIT ثم احفظ.
3. أعد فتح السجل باستخدام الكود.</t>
  </si>
  <si>
    <t>DL-003</t>
  </si>
  <si>
    <t>اسم عربي فريد وتصنيف ومنطقة وحساب عميل مستقل؛ اسم مؤقت UNSAVED.</t>
  </si>
  <si>
    <t>1. أنشئ سجلاً مستقلاً في العملاء وسجل الاسم الأصلي.
2. افتحه للتعديل واكتب UNSAVED ثم أغلق دون حفظ.
3. أعد فتح نفس السجل.</t>
  </si>
  <si>
    <t>DL-004</t>
  </si>
  <si>
    <t>اسم عربي فريد وتصنيف ومنطقة وحساب عميل مستقل؛ سجل لا يرتبط بحركات أو مستندات.</t>
  </si>
  <si>
    <t>1. أنشئ سجلاً مستقلاً في العملاء وسجل كوده واسمه.
2. اطلب حذفه وأكد العملية.
3. ابحث بالاسم والكود وتحقق من بقاء سجل مرجعي آخر.</t>
  </si>
  <si>
    <t>DL-005</t>
  </si>
  <si>
    <t>اسم عربي فريد وتصنيف ومنطقة وحساب عميل مستقل؛ اسمان مختلفان وكلمة QA-NO-MATCH-UNIQUE.</t>
  </si>
  <si>
    <t>1. أنشئ سجلين مختلفين في العملاء.
2. ابحث بالاسم الكامل للسجل الأول وسجل النتائج.
3. ابحث بالكلمة غير الموجودة ثم امسح البحث.</t>
  </si>
  <si>
    <t>DL-006</t>
  </si>
  <si>
    <t>1. افتح إضافة سجل جديد في العملاء.
2. أكمل بقية الحقول المطلوبة واترك الاسم العربي فارغاً.
3. اضغط حفظ ثم ابحث عن أي سجل نتج عن المحاولة.</t>
  </si>
  <si>
    <t>DL-007</t>
  </si>
  <si>
    <t>الموردون</t>
  </si>
  <si>
    <t>اسم عربي فريد وحساب مورد مستقل</t>
  </si>
  <si>
    <t>1. افتح شاشة الموردون واضغط جديد.
2. أدخل اسم عربي فريد وحساب مورد مستقل ثم احفظ.
3. دوّن الكود وابحث بالاسم الفريد، ثم افتح نفس السجل.</t>
  </si>
  <si>
    <t>src/test/java/DealerModelTest/SupplierTest.java</t>
  </si>
  <si>
    <t>DL-008</t>
  </si>
  <si>
    <t>اسم عربي فريد وحساب مورد مستقل؛ غيّر الاسم بإضافة EDIT.</t>
  </si>
  <si>
    <t>1. أنشئ سجلاً مستقلاً في الموردون وسجل كوده.
2. افتح تعديل نفس السجل وغيّر الاسم إلى الاسم المنتهي بـ EDIT ثم احفظ.
3. أعد فتح السجل باستخدام الكود.</t>
  </si>
  <si>
    <t>DL-009</t>
  </si>
  <si>
    <t>اسم عربي فريد وحساب مورد مستقل؛ اسم مؤقت UNSAVED.</t>
  </si>
  <si>
    <t>1. أنشئ سجلاً مستقلاً في الموردون وسجل الاسم الأصلي.
2. افتحه للتعديل واكتب UNSAVED ثم أغلق دون حفظ.
3. أعد فتح نفس السجل.</t>
  </si>
  <si>
    <t>DL-010</t>
  </si>
  <si>
    <t>اسم عربي فريد وحساب مورد مستقل؛ سجل لا يرتبط بحركات أو مستندات.</t>
  </si>
  <si>
    <t>1. أنشئ سجلاً مستقلاً في الموردون وسجل كوده واسمه.
2. اطلب حذفه وأكد العملية.
3. ابحث بالاسم والكود وتحقق من بقاء سجل مرجعي آخر.</t>
  </si>
  <si>
    <t>DL-011</t>
  </si>
  <si>
    <t>اسم عربي فريد وحساب مورد مستقل؛ اسمان مختلفان وكلمة QA-NO-MATCH-UNIQUE.</t>
  </si>
  <si>
    <t>1. أنشئ سجلين مختلفين في الموردون.
2. ابحث بالاسم الكامل للسجل الأول وسجل النتائج.
3. ابحث بالكلمة غير الموجودة ثم امسح البحث.</t>
  </si>
  <si>
    <t>DL-012</t>
  </si>
  <si>
    <t>1. افتح إضافة سجل جديد في الموردون.
2. أكمل بقية الحقول المطلوبة واترك الاسم العربي فارغاً.
3. اضغط حفظ ثم ابحث عن أي سجل نتج عن المحاولة.</t>
  </si>
  <si>
    <t>DL-013</t>
  </si>
  <si>
    <t>المندوبون</t>
  </si>
  <si>
    <t>اسم عربي فريد وبيانات المندوب والعمولة حسب الشاشة</t>
  </si>
  <si>
    <t>1. افتح شاشة المندوبون واضغط جديد.
2. أدخل اسم عربي فريد وبيانات المندوب والعمولة حسب الشاشة ثم احفظ.
3. دوّن الكود وابحث بالاسم الفريد، ثم افتح نفس السجل.</t>
  </si>
  <si>
    <t>src/test/java/DealerModelTest/AgentTest.java</t>
  </si>
  <si>
    <t>DL-014</t>
  </si>
  <si>
    <t>اسم عربي فريد وبيانات المندوب والعمولة حسب الشاشة؛ غيّر الاسم بإضافة EDIT.</t>
  </si>
  <si>
    <t>1. أنشئ سجلاً مستقلاً في المندوبون وسجل كوده.
2. افتح تعديل نفس السجل وغيّر الاسم إلى الاسم المنتهي بـ EDIT ثم احفظ.
3. أعد فتح السجل باستخدام الكود.</t>
  </si>
  <si>
    <t>DL-015</t>
  </si>
  <si>
    <t>اسم عربي فريد وبيانات المندوب والعمولة حسب الشاشة؛ اسم مؤقت UNSAVED.</t>
  </si>
  <si>
    <t>1. أنشئ سجلاً مستقلاً في المندوبون وسجل الاسم الأصلي.
2. افتحه للتعديل واكتب UNSAVED ثم أغلق دون حفظ.
3. أعد فتح نفس السجل.</t>
  </si>
  <si>
    <t>DL-016</t>
  </si>
  <si>
    <t>اسم عربي فريد وبيانات المندوب والعمولة حسب الشاشة؛ سجل لا يرتبط بحركات أو مستندات.</t>
  </si>
  <si>
    <t>1. أنشئ سجلاً مستقلاً في المندوبون وسجل كوده واسمه.
2. اطلب حذفه وأكد العملية.
3. ابحث بالاسم والكود وتحقق من بقاء سجل مرجعي آخر.</t>
  </si>
  <si>
    <t>DL-017</t>
  </si>
  <si>
    <t>اسم عربي فريد وبيانات المندوب والعمولة حسب الشاشة؛ اسمان مختلفان وكلمة QA-NO-MATCH-UNIQUE.</t>
  </si>
  <si>
    <t>1. أنشئ سجلين مختلفين في المندوبون.
2. ابحث بالاسم الكامل للسجل الأول وسجل النتائج.
3. ابحث بالكلمة غير الموجودة ثم امسح البحث.</t>
  </si>
  <si>
    <t>DL-018</t>
  </si>
  <si>
    <t>1. افتح إضافة سجل جديد في المندوبون.
2. أكمل بقية الحقول المطلوبة واترك الاسم العربي فارغاً.
3. اضغط حفظ ثم ابحث عن أي سجل نتج عن المحاولة.</t>
  </si>
  <si>
    <t>DL-019</t>
  </si>
  <si>
    <t>تصنيفات المتعاملين</t>
  </si>
  <si>
    <t>1. افتح شاشة تصنيفات المتعاملين واضغط جديد.
2. أدخل اسم عربي فريد ثم احفظ.
3. دوّن الكود وابحث بالاسم الفريد، ثم افتح نفس السجل.</t>
  </si>
  <si>
    <t>src/test/java/DealerModelTest/CustomerClassificationTest.java</t>
  </si>
  <si>
    <t>DL-020</t>
  </si>
  <si>
    <t>1. أنشئ سجلاً مستقلاً في تصنيفات المتعاملين وسجل كوده.
2. افتح تعديل نفس السجل وغيّر الاسم إلى الاسم المنتهي بـ EDIT ثم احفظ.
3. أعد فتح السجل باستخدام الكود.</t>
  </si>
  <si>
    <t>DL-021</t>
  </si>
  <si>
    <t>1. أنشئ سجلاً مستقلاً في تصنيفات المتعاملين وسجل الاسم الأصلي.
2. افتحه للتعديل واكتب UNSAVED ثم أغلق دون حفظ.
3. أعد فتح نفس السجل.</t>
  </si>
  <si>
    <t>DL-022</t>
  </si>
  <si>
    <t>1. أنشئ سجلاً مستقلاً في تصنيفات المتعاملين وسجل كوده واسمه.
2. اطلب حذفه وأكد العملية.
3. ابحث بالاسم والكود وتحقق من بقاء سجل مرجعي آخر.</t>
  </si>
  <si>
    <t>DL-023</t>
  </si>
  <si>
    <t>1. أنشئ سجلين مختلفين في تصنيفات المتعاملين.
2. ابحث بالاسم الكامل للسجل الأول وسجل النتائج.
3. ابحث بالكلمة غير الموجودة ثم امسح البحث.</t>
  </si>
  <si>
    <t>DL-024</t>
  </si>
  <si>
    <t>1. افتح إضافة سجل جديد في تصنيفات المتعاملين.
2. أكمل بقية الحقول المطلوبة واترك الاسم العربي فارغاً.
3. اضغط حفظ ثم ابحث عن أي سجل نتج عن المحاولة.</t>
  </si>
  <si>
    <t>DL-025</t>
  </si>
  <si>
    <t>المتعامل الرئيسي</t>
  </si>
  <si>
    <t>1. افتح شاشة المتعامل الرئيسي واضغط جديد.
2. أدخل اسم عربي فريد ثم احفظ.
3. دوّن الكود وابحث بالاسم الفريد، ثم افتح نفس السجل.</t>
  </si>
  <si>
    <t>src/test/java/DealerModelTest/MainDealerTest.java</t>
  </si>
  <si>
    <t>DL-026</t>
  </si>
  <si>
    <t>1. أنشئ سجلاً مستقلاً في المتعامل الرئيسي وسجل كوده.
2. افتح تعديل نفس السجل وغيّر الاسم إلى الاسم المنتهي بـ EDIT ثم احفظ.
3. أعد فتح السجل باستخدام الكود.</t>
  </si>
  <si>
    <t>DL-027</t>
  </si>
  <si>
    <t>1. أنشئ سجلاً مستقلاً في المتعامل الرئيسي وسجل الاسم الأصلي.
2. افتحه للتعديل واكتب UNSAVED ثم أغلق دون حفظ.
3. أعد فتح نفس السجل.</t>
  </si>
  <si>
    <t>DL-028</t>
  </si>
  <si>
    <t>1. أنشئ سجلاً مستقلاً في المتعامل الرئيسي وسجل كوده واسمه.
2. اطلب حذفه وأكد العملية.
3. ابحث بالاسم والكود وتحقق من بقاء سجل مرجعي آخر.</t>
  </si>
  <si>
    <t>DL-029</t>
  </si>
  <si>
    <t>1. أنشئ سجلين مختلفين في المتعامل الرئيسي.
2. ابحث بالاسم الكامل للسجل الأول وسجل النتائج.
3. ابحث بالكلمة غير الموجودة ثم امسح البحث.</t>
  </si>
  <si>
    <t>DL-030</t>
  </si>
  <si>
    <t>1. افتح إضافة سجل جديد في المتعامل الرئيسي.
2. أكمل بقية الحقول المطلوبة واترك الاسم العربي فارغاً.
3. اضغط حفظ ثم ابحث عن أي سجل نتج عن المحاولة.</t>
  </si>
  <si>
    <t>DL-031</t>
  </si>
  <si>
    <t>خطوط سير المندوبين</t>
  </si>
  <si>
    <t>ربط خط السير بالمندوب والعملاء</t>
  </si>
  <si>
    <t>مندوب وعميلان اختباريان؛ عدد زيارات 5 وعدد أيام 10؛ اسم خط فريد.</t>
  </si>
  <si>
    <t>1. افتح خطوط السير وأنشئ خطاً بالاسم الفريد.
2. اختر مندوب الاختبار والعميلين وأدخل 5 زيارات و10 أيام ثم احفظ.
3. راجع الأحداث الجديدة وهوية المندوب والعملاء في الخط المحفوظ.</t>
  </si>
  <si>
    <t>تظهر أحداث مرتبطة بخط الاختبار ومندوبه؛ لا تدخل أسماء أو عملاء خارج بيانات الحالة.</t>
  </si>
  <si>
    <t>src/test/java/DealerModelTest/RoutLineTest.java</t>
  </si>
  <si>
    <t>الاختبار القديم يستخدم بيانات ثابتة؛ تجهيز بيانات مستقلة مطلوب قبل التنفيذ.</t>
  </si>
  <si>
    <t>DL-032</t>
  </si>
  <si>
    <t>عمولة على جميع الأصناف</t>
  </si>
  <si>
    <t>مندوب مستقل؛ صنفان مستقلان؛ نسبة عمولة 5%.</t>
  </si>
  <si>
    <t>1. افتح إضافة مندوب ببياناته الأساسية الصحيحة.
2. انتقل لتبويب الأصناف أو العمولة ونفذ اختيار الحالة ثم احفظ.
3. أعد فتح المندوب وراجع النطاق والأصناف والنسبة.</t>
  </si>
  <si>
    <t>يحفظ نطاق جميع الأصناف والنسبة الصحيحة دون اختيار سجلات من حالة أخرى.</t>
  </si>
  <si>
    <t>هذه الحالة تثبت حفظ إعداد العمولة؛ لا تثبت حساب استحقاق العمولة من فاتورة فعلية.</t>
  </si>
  <si>
    <t>DL-033</t>
  </si>
  <si>
    <t>عمولة على صنف محدد</t>
  </si>
  <si>
    <t>مندوب مستقل وصنفان؛ اختر الأول فقط بنسبة 5%.</t>
  </si>
  <si>
    <t>يحفظ الصنف المختار فقط مع النسبة؛ الصنف الثاني لا يدخل في النطاق.</t>
  </si>
  <si>
    <t>DL-034</t>
  </si>
  <si>
    <t>اختيار صنف بالباركود</t>
  </si>
  <si>
    <t>مندوب وصنف مستقل بباركود فريد.</t>
  </si>
  <si>
    <t>يضاف الصنف المطابق للباركود وليس صنفاً آخر.</t>
  </si>
  <si>
    <t>حالات الأصناف</t>
  </si>
  <si>
    <t>PR-001</t>
  </si>
  <si>
    <t>الوحدات</t>
  </si>
  <si>
    <t>1. افتح شاشة الوحدات واضغط جديد.
2. أدخل اسم عربي فريد ثم احفظ.
3. دوّن الكود وابحث بالاسم الفريد، ثم افتح نفس السجل.</t>
  </si>
  <si>
    <t>src/test/java/ProductsTest/UnitTest.java</t>
  </si>
  <si>
    <t>PR-002</t>
  </si>
  <si>
    <t>1. أنشئ سجلاً مستقلاً في الوحدات وسجل كوده.
2. افتح تعديل نفس السجل وغيّر الاسم إلى الاسم المنتهي بـ EDIT ثم احفظ.
3. أعد فتح السجل باستخدام الكود.</t>
  </si>
  <si>
    <t>PR-003</t>
  </si>
  <si>
    <t>1. أنشئ سجلاً مستقلاً في الوحدات وسجل الاسم الأصلي.
2. افتحه للتعديل واكتب UNSAVED ثم أغلق دون حفظ.
3. أعد فتح نفس السجل.</t>
  </si>
  <si>
    <t>PR-004</t>
  </si>
  <si>
    <t>1. أنشئ سجلاً مستقلاً في الوحدات وسجل كوده واسمه.
2. اطلب حذفه وأكد العملية.
3. ابحث بالاسم والكود وتحقق من بقاء سجل مرجعي آخر.</t>
  </si>
  <si>
    <t>PR-005</t>
  </si>
  <si>
    <t>1. أنشئ سجلين مختلفين في الوحدات.
2. ابحث بالاسم الكامل للسجل الأول وسجل النتائج.
3. ابحث بالكلمة غير الموجودة ثم امسح البحث.</t>
  </si>
  <si>
    <t>PR-006</t>
  </si>
  <si>
    <t>1. افتح إضافة سجل جديد في الوحدات.
2. أكمل بقية الحقول المطلوبة واترك الاسم العربي فارغاً.
3. اضغط حفظ ثم ابحث عن أي سجل نتج عن المحاولة.</t>
  </si>
  <si>
    <t>PR-007</t>
  </si>
  <si>
    <t>فئات الأصناف</t>
  </si>
  <si>
    <t>اسم عربي فريد وفئة رئيسية اختبارية عند إنشاء فئة فرعية</t>
  </si>
  <si>
    <t>1. افتح شاشة فئات الأصناف واضغط جديد.
2. أدخل اسم عربي فريد وفئة رئيسية اختبارية عند إنشاء فئة فرعية ثم احفظ.
3. دوّن الكود وابحث بالاسم الفريد، ثم افتح نفس السجل.</t>
  </si>
  <si>
    <t>src/test/java/ProductsTest/ProductCategoriesTest.java</t>
  </si>
  <si>
    <t>PR-008</t>
  </si>
  <si>
    <t>اسم عربي فريد وفئة رئيسية اختبارية عند إنشاء فئة فرعية؛ غيّر الاسم بإضافة EDIT.</t>
  </si>
  <si>
    <t>1. أنشئ سجلاً مستقلاً في فئات الأصناف وسجل كوده.
2. افتح تعديل نفس السجل وغيّر الاسم إلى الاسم المنتهي بـ EDIT ثم احفظ.
3. أعد فتح السجل باستخدام الكود.</t>
  </si>
  <si>
    <t>PR-009</t>
  </si>
  <si>
    <t>اسم عربي فريد وفئة رئيسية اختبارية عند إنشاء فئة فرعية؛ اسم مؤقت UNSAVED.</t>
  </si>
  <si>
    <t>1. أنشئ سجلاً مستقلاً في فئات الأصناف وسجل الاسم الأصلي.
2. افتحه للتعديل واكتب UNSAVED ثم أغلق دون حفظ.
3. أعد فتح نفس السجل.</t>
  </si>
  <si>
    <t>PR-010</t>
  </si>
  <si>
    <t>اسم عربي فريد وفئة رئيسية اختبارية عند إنشاء فئة فرعية؛ سجل لا يرتبط بحركات أو مستندات.</t>
  </si>
  <si>
    <t>1. أنشئ سجلاً مستقلاً في فئات الأصناف وسجل كوده واسمه.
2. اطلب حذفه وأكد العملية.
3. ابحث بالاسم والكود وتحقق من بقاء سجل مرجعي آخر.</t>
  </si>
  <si>
    <t>PR-011</t>
  </si>
  <si>
    <t>اسم عربي فريد وفئة رئيسية اختبارية عند إنشاء فئة فرعية؛ اسمان مختلفان وكلمة QA-NO-MATCH-UNIQUE.</t>
  </si>
  <si>
    <t>1. أنشئ سجلين مختلفين في فئات الأصناف.
2. ابحث بالاسم الكامل للسجل الأول وسجل النتائج.
3. ابحث بالكلمة غير الموجودة ثم امسح البحث.</t>
  </si>
  <si>
    <t>PR-012</t>
  </si>
  <si>
    <t>1. افتح إضافة سجل جديد في فئات الأصناف.
2. أكمل بقية الحقول المطلوبة واترك الاسم العربي فارغاً.
3. اضغط حفظ ثم ابحث عن أي سجل نتج عن المحاولة.</t>
  </si>
  <si>
    <t>PR-013</t>
  </si>
  <si>
    <t>إضافة الأصناف</t>
  </si>
  <si>
    <t>إضافة صنف بوحدتين ورصيد افتتاحي</t>
  </si>
  <si>
    <t>اسم وباركود فريدان؛ فئة اختبار؛ وحدة حبة ووحدة علبة؛ معامل 10؛ مخزن؛ رصيد 12.5 وتكلفة 80.25.</t>
  </si>
  <si>
    <t>1. افتح إضافة صنف وأدخل الاسم والباركود والفئة والوحدة الأساسية.
2. أضف المخزن برصيد 12.5 وتكلفة 80.25.
3. أضف وحدة فرعية مختلفة بمعامل 10 وباركود مستقل ثم احفظ.
4. أعد فتح الصنف وراجع الوحدات ورصيد المخزن والتكلفة.</t>
  </si>
  <si>
    <t>تحفظ جميع الروابط والأرقام كما أدخلت؛ الوحدة الفرعية مختلفة عن الأساسية.</t>
  </si>
  <si>
    <t>src/test/java/ProductsTest/AddProductsTest.java</t>
  </si>
  <si>
    <t>PR-014</t>
  </si>
  <si>
    <t>رفض الحفظ دون الباركود الأساسي</t>
  </si>
  <si>
    <t>بيانات صنف صحيحة؛ اترك الباركود الأساسي دون إدخال.</t>
  </si>
  <si>
    <t>1. افتح إضافة صنف جديد وأكمل بقية البيانات الصحيحة.
2. اترك الباركود الأساسي فارغاً ثم حاول الحفظ.
3. ابحث بالاسم والباركود للتأكد من عدم إنشاء الصنف.</t>
  </si>
  <si>
    <t>لا يحفظ صنف ناقص، وتظهر إشارة تحقق للحقل الناقص.</t>
  </si>
  <si>
    <t>PR-015</t>
  </si>
  <si>
    <t>رفض الحفظ دون الفئة</t>
  </si>
  <si>
    <t>بيانات صنف صحيحة؛ اترك الفئة دون إدخال.</t>
  </si>
  <si>
    <t>1. افتح إضافة صنف جديد وأكمل بقية البيانات الصحيحة.
2. اترك الفئة فارغاً ثم حاول الحفظ.
3. ابحث بالاسم والباركود للتأكد من عدم إنشاء الصنف.</t>
  </si>
  <si>
    <t>PR-016</t>
  </si>
  <si>
    <t>رفض الحفظ دون الوحدة الأساسية</t>
  </si>
  <si>
    <t>بيانات صنف صحيحة؛ اترك الوحدة الأساسية دون إدخال.</t>
  </si>
  <si>
    <t>1. افتح إضافة صنف جديد وأكمل بقية البيانات الصحيحة.
2. اترك الوحدة الأساسية فارغاً ثم حاول الحفظ.
3. ابحث بالاسم والباركود للتأكد من عدم إنشاء الصنف.</t>
  </si>
  <si>
    <t>PR-017</t>
  </si>
  <si>
    <t>رفض الحفظ دون المخزن</t>
  </si>
  <si>
    <t>بيانات صنف صحيحة؛ اترك المخزن دون إدخال.</t>
  </si>
  <si>
    <t>1. افتح إضافة صنف جديد وأكمل بقية البيانات الصحيحة.
2. اترك المخزن فارغاً ثم حاول الحفظ.
3. ابحث بالاسم والباركود للتأكد من عدم إنشاء الصنف.</t>
  </si>
  <si>
    <t>PR-018</t>
  </si>
  <si>
    <t>رفض الوحدة الأساسية كوحدة فرعية</t>
  </si>
  <si>
    <t>نفس الوحدة الأساسية في سطر الوحدة الفرعية؛ معامل 10.</t>
  </si>
  <si>
    <t>1. جهز نموذج صنف صحيح دون حفظ.
2. نفذ إدخال بيانات الحالة في الوحدات أو المخازن.
3. اضغط إضافة السطر وراجع عدد السطور ورسالة التحقق.</t>
  </si>
  <si>
    <t>لا يضاف السطر غير الصالح.</t>
  </si>
  <si>
    <t>PR-019</t>
  </si>
  <si>
    <t>رفض معامل تحويل يساوي واحد</t>
  </si>
  <si>
    <t>وحدة فرعية مختلفة؛ معامل التحويل 1.</t>
  </si>
  <si>
    <t>لا يضاف سطر التحويل وتظهر إشارة تحقق.</t>
  </si>
  <si>
    <t>PR-020</t>
  </si>
  <si>
    <t>رفض معامل تحويل سالب</t>
  </si>
  <si>
    <t>وحدة فرعية مختلفة؛ معامل التحويل -2.</t>
  </si>
  <si>
    <t>PR-021</t>
  </si>
  <si>
    <t>رفض باركود فرعي فارغ</t>
  </si>
  <si>
    <t>وحدة فرعية مختلفة؛ معامل 10؛ باركود فرعي فارغ.</t>
  </si>
  <si>
    <t>لا يضاف السطر الناقص.</t>
  </si>
  <si>
    <t>PR-022</t>
  </si>
  <si>
    <t>رفض تكرار الوحدة الفرعية</t>
  </si>
  <si>
    <t>أضف نفس الوحدة الفرعية مرتين بمعامل 10.</t>
  </si>
  <si>
    <t>يبقى سطر واحد للوحدة دون تكرار.</t>
  </si>
  <si>
    <t>PR-023</t>
  </si>
  <si>
    <t>رفض تكرار المخزن</t>
  </si>
  <si>
    <t>أضف نفس مخزن الاختبار مرتين.</t>
  </si>
  <si>
    <t>لا يتكرر سطر المخزن للصنف.</t>
  </si>
  <si>
    <t>PR-024</t>
  </si>
  <si>
    <t>أسعار الصنف</t>
  </si>
  <si>
    <t>رفض أسعار الحد الأدنى 0 والبيع -1 والحد الأقصى 110</t>
  </si>
  <si>
    <t>صنف مستقل؛ الحد الأدنى 0؛ سعر البيع -1؛ الحد الأقصى 110.</t>
  </si>
  <si>
    <t>1. جهز صنفاً جديداً صحيح البيانات الأساسية.
2. اكتب الأسعار المحددة للحالة ثم اضغط حفظ.
3. أعد البحث والفتح للتأكد من وجود السجل أو عدمه ومن القيم المحفوظة.</t>
  </si>
  <si>
    <t>يرفض الحفظ؛ القاعدة: الحد الأدنى ≤ البيع ≤ الحد الأقصى وسعر البيع غير سالب. لا يحفظ سجل غير صالح.</t>
  </si>
  <si>
    <t>src/test/java/ProductsTest/KNOWN_BUGS.md</t>
  </si>
  <si>
    <t>حدود وقيم</t>
  </si>
  <si>
    <t>يوجد عيب موثق سابقاً بقبول الأسعار غير الصالحة؛ أعد التنفيذ ولا تعتبره نتيجة حالية.</t>
  </si>
  <si>
    <t>PR-025</t>
  </si>
  <si>
    <t>رفض أسعار الحد الأدنى 120 والبيع 100.25 والحد الأقصى 150</t>
  </si>
  <si>
    <t>صنف مستقل؛ الحد الأدنى 120؛ سعر البيع 100.25؛ الحد الأقصى 150.</t>
  </si>
  <si>
    <t>PR-026</t>
  </si>
  <si>
    <t>رفض أسعار الحد الأدنى 50 والبيع 100.25 والحد الأقصى 80</t>
  </si>
  <si>
    <t>صنف مستقل؛ الحد الأدنى 50؛ سعر البيع 100.25؛ الحد الأقصى 80.</t>
  </si>
  <si>
    <t>PR-027</t>
  </si>
  <si>
    <t>رفض أسعار الحد الأدنى 120 والبيع 100 والحد الأقصى 110</t>
  </si>
  <si>
    <t>صنف مستقل؛ الحد الأدنى 120؛ سعر البيع 100؛ الحد الأقصى 110.</t>
  </si>
  <si>
    <t>PR-028</t>
  </si>
  <si>
    <t>رفض أسعار الحد الأدنى 90 والبيع 100 والحد الأقصى 80</t>
  </si>
  <si>
    <t>صنف مستقل؛ الحد الأدنى 90؛ سعر البيع 100؛ الحد الأقصى 80.</t>
  </si>
  <si>
    <t>PR-029</t>
  </si>
  <si>
    <t>رفض أسعار الحد الأدنى 90 والبيع 80 والحد الأقصى 110</t>
  </si>
  <si>
    <t>صنف مستقل؛ الحد الأدنى 90؛ سعر البيع 80؛ الحد الأقصى 110.</t>
  </si>
  <si>
    <t>PR-030</t>
  </si>
  <si>
    <t>رفض أسعار الحد الأدنى 90 والبيع 120 والحد الأقصى 110</t>
  </si>
  <si>
    <t>صنف مستقل؛ الحد الأدنى 90؛ سعر البيع 120؛ الحد الأقصى 110.</t>
  </si>
  <si>
    <t>PR-031</t>
  </si>
  <si>
    <t>قبول أسعار الحد الأدنى 100.25 والبيع 100.25 والحد الأقصى 100.25</t>
  </si>
  <si>
    <t>صنف مستقل؛ الحد الأدنى 100.25؛ سعر البيع 100.25؛ الحد الأقصى 100.25.</t>
  </si>
  <si>
    <t>يحفظ الصنف بالقيم نفسها.</t>
  </si>
  <si>
    <t>PR-032</t>
  </si>
  <si>
    <t>قبول أسعار الحد الأدنى 90 والبيع 90 والحد الأقصى 110</t>
  </si>
  <si>
    <t>صنف مستقل؛ الحد الأدنى 90؛ سعر البيع 90؛ الحد الأقصى 110.</t>
  </si>
  <si>
    <t>PR-033</t>
  </si>
  <si>
    <t>قبول أسعار الحد الأدنى 90 والبيع 110 والحد الأقصى 110</t>
  </si>
  <si>
    <t>صنف مستقل؛ الحد الأدنى 90؛ سعر البيع 110؛ الحد الأقصى 110.</t>
  </si>
  <si>
    <t>PR-034</t>
  </si>
  <si>
    <t>تصدير PDF</t>
  </si>
  <si>
    <t>سجل اختباري ظاهر بالقائمة؛ اسم وكود معروفان.</t>
  </si>
  <si>
    <t>1. افتح القائمة وابحث عن سجل الاختبار.
2. اضغط تصدير PDF وانتظر انتهاء التنزيل.
3. افتح الملف الناتج وراجع العناوين والسجل والأرقام العربية والإنجليزية.</t>
  </si>
  <si>
    <t>ينزل ملف فعلي قابل للفتح بالصيغة المطلوبة ويحتوي البيانات المتوقعة.</t>
  </si>
  <si>
    <t>PR-035</t>
  </si>
  <si>
    <t>قوائم الأسعار</t>
  </si>
  <si>
    <t>src/test/java/ProductsTest/ProductListTest.java</t>
  </si>
  <si>
    <t>تصدير PDF لقوائم الأسعار له عيب موثق سابقاً؛ لم يعاد تشغيله لهذا التسليم.</t>
  </si>
  <si>
    <t>PR-036</t>
  </si>
  <si>
    <t>تصدير Excel</t>
  </si>
  <si>
    <t>1. افتح القائمة وابحث عن سجل الاختبار.
2. اضغط تصدير Excel وانتظر انتهاء التنزيل.
3. افتح الملف الناتج وراجع العناوين والسجل والأرقام العربية والإنجليزية.</t>
  </si>
  <si>
    <t>PR-037</t>
  </si>
  <si>
    <t>PR-038</t>
  </si>
  <si>
    <t>حفظ سعر كسري</t>
  </si>
  <si>
    <t>سعر قائمة الصنف 125.75.</t>
  </si>
  <si>
    <t>1. جهز صنفاً ووحدة مستقلين وافتح قائمة أسعار جديدة.
2. أدخل اسم القائمة وأضف الصنف ثم نفذ بيانات الحالة.
3. احفظ وأعد فتح القائمة إن كان الإدخال صالحاً.</t>
  </si>
  <si>
    <t>يعرض ويحفظ السعر 125.75 دون قطع الكسور.</t>
  </si>
  <si>
    <t>PR-039</t>
  </si>
  <si>
    <t>رفض تكرار الصنف والوحدة</t>
  </si>
  <si>
    <t>نفس الصنف ونفس الوحدة مرتان.</t>
  </si>
  <si>
    <t>يبقى سطر واحد مع إشارة رفض التكرار.</t>
  </si>
  <si>
    <t>حالات المبيعات</t>
  </si>
  <si>
    <t>SL-001</t>
  </si>
  <si>
    <t>فاتورة بيع</t>
  </si>
  <si>
    <t>حفظ مستند بإضافة الصنف من القائمة</t>
  </si>
  <si>
    <t>عميل مستقل وصنف غير خاضع للضريبة بسعر 100 ورصيد 100 في مخزن الاختبار؛ كمية 3؛ خصم صفر؛ ملاحظات فريدة.</t>
  </si>
  <si>
    <t>1. افتح فاتورة بيع جديداً واختر المخزن وعميل الاختبار.
2. أضف الصنف بواسطة القائمة وأدخل كمية 3 وسعر 100 وخصم صفر.
3. راجع الصافي 300 ثم احفظ وسجل كود المستند.
4. أعد فتح المستند وراجع الطرف والصنف والكمية، ثم راجع رصيد الصنف في المخزنين.</t>
  </si>
  <si>
    <t>يحفظ مستند واحد بصافي 300 وبالطرف والصنف الصحيحين. رصيد المخزن قبل الحفظ 100 وبعد الحفظ 97. المخزن الآخر لا يتغير.</t>
  </si>
  <si>
    <t>src/test/java/Invoice/SalesInvoiceCoverageTest.java</t>
  </si>
  <si>
    <t>حفظ وأثر مخزون</t>
  </si>
  <si>
    <t>SL-002</t>
  </si>
  <si>
    <t>حفظ مستند بإضافة الصنف من الاسم</t>
  </si>
  <si>
    <t>1. افتح فاتورة بيع جديداً واختر المخزن وعميل الاختبار.
2. أضف الصنف بواسطة الاسم وأدخل كمية 3 وسعر 100 وخصم صفر.
3. راجع الصافي 300 ثم احفظ وسجل كود المستند.
4. أعد فتح المستند وراجع الطرف والصنف والكمية، ثم راجع رصيد الصنف في المخزنين.</t>
  </si>
  <si>
    <t>SL-003</t>
  </si>
  <si>
    <t>حفظ مستند بإضافة الصنف من الباركود</t>
  </si>
  <si>
    <t>1. افتح فاتورة بيع جديداً واختر المخزن وعميل الاختبار.
2. أضف الصنف بواسطة الباركود وأدخل كمية 3 وسعر 100 وخصم صفر.
3. راجع الصافي 300 ثم احفظ وسجل كود المستند.
4. أعد فتح المستند وراجع الطرف والصنف والكمية، ثم راجع رصيد الصنف في المخزنين.</t>
  </si>
  <si>
    <t>SL-004</t>
  </si>
  <si>
    <t>منع الحفظ عند الأصناف دون بنود</t>
  </si>
  <si>
    <t>عميل مستقل وصنف غير خاضع للضريبة بسعر 100 ورصيد 100 في مخزن الاختبار؛ كمية 3؛ خصم صفر؛ ملاحظات فريدة.؛ تغيير الحالة: الأصناف = دون بنود.</t>
  </si>
  <si>
    <t>1. جهز فاتورة بيع ببيانات صحيحة وسجل رصيد الصنف قبل المحاولة.
2. اجعل الأصناف دون بنود واترك باقي البيانات صحيحة.
3. حاول الحفظ ثم ابحث عن الملاحظات الفريدة في القائمة.
4. راجع رصيد الصنف والطرف بعد المحاولة.</t>
  </si>
  <si>
    <t>يرفض الحفظ ولا ينشأ مستند، ولا يتغير المخزون أو رصيد الطرف. راجع القائمة حتى لو ظهرت رسالة خطأ بعد الحفظ.</t>
  </si>
  <si>
    <t>تحقق سلبي</t>
  </si>
  <si>
    <t>بعض حالات الصفر أو المستند الفارغ لها عيوب موثقة في المشتريات؛ النتيجة المتوقعة لا تتغير.</t>
  </si>
  <si>
    <t>SL-005</t>
  </si>
  <si>
    <t>منع الحفظ عند الكمية 0</t>
  </si>
  <si>
    <t>عميل مستقل وصنف غير خاضع للضريبة بسعر 100 ورصيد 100 في مخزن الاختبار؛ كمية 3؛ خصم صفر؛ ملاحظات فريدة.؛ تغيير الحالة: الكمية = 0.</t>
  </si>
  <si>
    <t>1. جهز فاتورة بيع ببيانات صحيحة وسجل رصيد الصنف قبل المحاولة.
2. اجعل الكمية 0 واترك باقي البيانات صحيحة.
3. حاول الحفظ ثم ابحث عن الملاحظات الفريدة في القائمة.
4. راجع رصيد الصنف والطرف بعد المحاولة.</t>
  </si>
  <si>
    <t>SL-006</t>
  </si>
  <si>
    <t>منع الحفظ عند الكمية -1</t>
  </si>
  <si>
    <t>عميل مستقل وصنف غير خاضع للضريبة بسعر 100 ورصيد 100 في مخزن الاختبار؛ كمية 3؛ خصم صفر؛ ملاحظات فريدة.؛ تغيير الحالة: الكمية = -1.</t>
  </si>
  <si>
    <t>1. جهز فاتورة بيع ببيانات صحيحة وسجل رصيد الصنف قبل المحاولة.
2. اجعل الكمية -1 واترك باقي البيانات صحيحة.
3. حاول الحفظ ثم ابحث عن الملاحظات الفريدة في القائمة.
4. راجع رصيد الصنف والطرف بعد المحاولة.</t>
  </si>
  <si>
    <t>SL-007</t>
  </si>
  <si>
    <t>منع الحفظ عند السعر -1</t>
  </si>
  <si>
    <t>عميل مستقل وصنف غير خاضع للضريبة بسعر 100 ورصيد 100 في مخزن الاختبار؛ كمية 3؛ خصم صفر؛ ملاحظات فريدة.؛ تغيير الحالة: السعر = -1.</t>
  </si>
  <si>
    <t>1. جهز فاتورة بيع ببيانات صحيحة وسجل رصيد الصنف قبل المحاولة.
2. اجعل السعر -1 واترك باقي البيانات صحيحة.
3. حاول الحفظ ثم ابحث عن الملاحظات الفريدة في القائمة.
4. راجع رصيد الصنف والطرف بعد المحاولة.</t>
  </si>
  <si>
    <t>SL-008</t>
  </si>
  <si>
    <t>حفظ كمية كسرية</t>
  </si>
  <si>
    <t>عميل مستقل وصنف غير خاضع للضريبة بسعر 100 ورصيد 100 في مخزن الاختبار؛ كمية 3؛ خصم صفر؛ ملاحظات فريدة.؛ الكمية 1.25 بدلاً من 3.</t>
  </si>
  <si>
    <t>1. افتح فاتورة بيع ببيانات صحيحة.
2. أضف الصنف بكمية 1.25 وسعر 100 ثم احفظ.
3. أعد فتح المستند وراجع الكمية والصافي ورصيد المخزون.</t>
  </si>
  <si>
    <t>الكمية 1.25 والصافي 125؛ رصيد المخزون 98.75 والمخزن الآخر لا يتغير.</t>
  </si>
  <si>
    <t>SL-009</t>
  </si>
  <si>
    <t>إلغاء بند قبل الحفظ</t>
  </si>
  <si>
    <t>عميل مستقل وصنف غير خاضع للضريبة بسعر 100 ورصيد 100 في مخزن الاختبار؛ كمية 3؛ خصم صفر؛ ملاحظات فريدة.؛ صنفان مختلفان بسعر 100 لكل منهما وكمية 1.</t>
  </si>
  <si>
    <t>1. افتح فاتورة بيع وأضف الصنفين.
2. احذف سطر الصنف الثاني قبل الحفظ.
3. احفظ ثم أعد فتح المستند وراجع أرصدة الصنفين.</t>
  </si>
  <si>
    <t>يحفظ بند واحد فقط بصافي 100؛ الصنف المحذوف لا يتأثر مخزونه.</t>
  </si>
  <si>
    <t>SL-010</t>
  </si>
  <si>
    <t>حفظ الملاحظات العربية والإنجليزية</t>
  </si>
  <si>
    <t>عميل مستقل وصنف غير خاضع للضريبة بسعر 100 ورصيد 100 في مخزن الاختبار؛ كمية 3؛ خصم صفر؛ ملاحظات فريدة.؛ الملاحظة QA-MAN مراجعة Sales 123.</t>
  </si>
  <si>
    <t>1. جهز فاتورة بيع صحيحاً.
2. اكتب الملاحظة المحددة واحفظ.
3. أعد فتح نفس المستند.</t>
  </si>
  <si>
    <t>تظهر الملاحظة كاملة كما أدخلت دون تغيير الحروف أو الأرقام.</t>
  </si>
  <si>
    <t>SL-011</t>
  </si>
  <si>
    <t>حساب خصم 10%</t>
  </si>
  <si>
    <t>عميل مستقل وصنف غير خاضع للضريبة بسعر 100 ورصيد 100 في مخزن الاختبار؛ كمية 3؛ خصم صفر؛ ملاحظات فريدة.؛ صلاحية خصم معتمدة؛ خصم 10%.</t>
  </si>
  <si>
    <t>1. جهز فاتورة بيع بكمية 3 وسعر 100 وتأكد من إجمالي 300.
2. أدخل الخصم المحدد بعد اختيار نوعه الصحيح.
3. راجع صافي الشاشة ثم احفظ وأعد فتح المستند.</t>
  </si>
  <si>
    <t>الصافي 270 في الشاشة والمستند المحفوظ، وأثر المخزون يظل وفق كمية 3. إذا رفض الخادم الخصم لصلاحية فعلية، وثق الحالة كمحجوبة عن إثبات حفظ الخصم ولا تسجل نجاح الحفظ.</t>
  </si>
  <si>
    <t>حسابات</t>
  </si>
  <si>
    <t>SL-012</t>
  </si>
  <si>
    <t>حساب خصم 15 بالقيمة</t>
  </si>
  <si>
    <t>عميل مستقل وصنف غير خاضع للضريبة بسعر 100 ورصيد 100 في مخزن الاختبار؛ كمية 3؛ خصم صفر؛ ملاحظات فريدة.؛ صلاحية خصم معتمدة؛ خصم 15 بالقيمة.</t>
  </si>
  <si>
    <t>الصافي 285 في الشاشة والمستند المحفوظ، وأثر المخزون يظل وفق كمية 3. إذا رفض الخادم الخصم لصلاحية فعلية، وثق الحالة كمحجوبة عن إثبات حفظ الخصم ولا تسجل نجاح الحفظ.</t>
  </si>
  <si>
    <t>SL-013</t>
  </si>
  <si>
    <t>حفظ وطباعة مستند</t>
  </si>
  <si>
    <t>1. جهز فاتورة بيع صحيحاً واضغط حفظ وطباعة.
2. سجل كود المستند وافتح تقرير الطباعة.
3. قارن اسم الطرف والصنف والكمية 3 والصافي 300 مع المستند المحفوظ.</t>
  </si>
  <si>
    <t>يحفظ مستند واحد ويفتح تقرير لنفس المستند بالقيم المطابقة.</t>
  </si>
  <si>
    <t>SL-014</t>
  </si>
  <si>
    <t>ثبات فاتورة البيع بعد الحفظ</t>
  </si>
  <si>
    <t>1. أنشئ فاتورة بيع واحفظها وسجل كودها.
2. افتح نفس الفاتورة وحاول تعديل الكمية والسعر.
3. افحص وجود أوامر حفظ التعديل والحذف.</t>
  </si>
  <si>
    <t>حقلا الكمية والسعر للقراءة، ولا يتاح تعديل أو حذف فاتورة البيع العادية. تظل الفاتورة والأرصدة كما هي.</t>
  </si>
  <si>
    <t>docs/sales/README.md</t>
  </si>
  <si>
    <t>SL-015</t>
  </si>
  <si>
    <t>جديد يمسح البنود غير المحفوظة</t>
  </si>
  <si>
    <t>1. جهز فاتورة بيع وأضف صنفاً دون حفظ.
2. اضغط جديد.
3. راجع البنود وابحث عن الملاحظة الفريدة في القائمة.</t>
  </si>
  <si>
    <t>تفرغ بنود المسودة ولا ينشأ مستند ولا تتغير الأرصدة.</t>
  </si>
  <si>
    <t>SL-016</t>
  </si>
  <si>
    <t>عرض سعر</t>
  </si>
  <si>
    <t>1. افتح عرض سعر جديداً واختر المخزن وعميل الاختبار.
2. أضف الصنف بواسطة القائمة وأدخل كمية 3 وسعر 100 وخصم صفر.
3. راجع الصافي 300 ثم احفظ وسجل كود المستند.
4. أعد فتح المستند وراجع الطرف والصنف والكمية، ثم راجع رصيد الصنف في المخزنين.</t>
  </si>
  <si>
    <t>يحفظ مستند واحد بصافي 300 وبالطرف والصنف الصحيحين. رصيد المخزن قبل الحفظ 100 وبعد الحفظ 100. المخزن الآخر لا يتغير.</t>
  </si>
  <si>
    <t>src/test/java/Invoice/QuotationTest.java</t>
  </si>
  <si>
    <t>SL-017</t>
  </si>
  <si>
    <t>1. افتح عرض سعر جديداً واختر المخزن وعميل الاختبار.
2. أضف الصنف بواسطة الاسم وأدخل كمية 3 وسعر 100 وخصم صفر.
3. راجع الصافي 300 ثم احفظ وسجل كود المستند.
4. أعد فتح المستند وراجع الطرف والصنف والكمية، ثم راجع رصيد الصنف في المخزنين.</t>
  </si>
  <si>
    <t>SL-018</t>
  </si>
  <si>
    <t>1. افتح عرض سعر جديداً واختر المخزن وعميل الاختبار.
2. أضف الصنف بواسطة الباركود وأدخل كمية 3 وسعر 100 وخصم صفر.
3. راجع الصافي 300 ثم احفظ وسجل كود المستند.
4. أعد فتح المستند وراجع الطرف والصنف والكمية، ثم راجع رصيد الصنف في المخزنين.</t>
  </si>
  <si>
    <t>SL-019</t>
  </si>
  <si>
    <t>1. جهز عرض سعر ببيانات صحيحة وسجل رصيد الصنف قبل المحاولة.
2. اجعل الأصناف دون بنود واترك باقي البيانات صحيحة.
3. حاول الحفظ ثم ابحث عن الملاحظات الفريدة في القائمة.
4. راجع رصيد الصنف والطرف بعد المحاولة.</t>
  </si>
  <si>
    <t>SL-020</t>
  </si>
  <si>
    <t>1. جهز عرض سعر ببيانات صحيحة وسجل رصيد الصنف قبل المحاولة.
2. اجعل الكمية 0 واترك باقي البيانات صحيحة.
3. حاول الحفظ ثم ابحث عن الملاحظات الفريدة في القائمة.
4. راجع رصيد الصنف والطرف بعد المحاولة.</t>
  </si>
  <si>
    <t>SL-021</t>
  </si>
  <si>
    <t>1. جهز عرض سعر ببيانات صحيحة وسجل رصيد الصنف قبل المحاولة.
2. اجعل الكمية -1 واترك باقي البيانات صحيحة.
3. حاول الحفظ ثم ابحث عن الملاحظات الفريدة في القائمة.
4. راجع رصيد الصنف والطرف بعد المحاولة.</t>
  </si>
  <si>
    <t>SL-022</t>
  </si>
  <si>
    <t>1. جهز عرض سعر ببيانات صحيحة وسجل رصيد الصنف قبل المحاولة.
2. اجعل السعر -1 واترك باقي البيانات صحيحة.
3. حاول الحفظ ثم ابحث عن الملاحظات الفريدة في القائمة.
4. راجع رصيد الصنف والطرف بعد المحاولة.</t>
  </si>
  <si>
    <t>SL-023</t>
  </si>
  <si>
    <t>1. افتح عرض سعر ببيانات صحيحة.
2. أضف الصنف بكمية 1.25 وسعر 100 ثم احفظ.
3. أعد فتح المستند وراجع الكمية والصافي ورصيد المخزون.</t>
  </si>
  <si>
    <t>الكمية 1.25 والصافي 125؛ رصيد المخزون 100.0 والمخزن الآخر لا يتغير.</t>
  </si>
  <si>
    <t>SL-024</t>
  </si>
  <si>
    <t>1. افتح عرض سعر وأضف الصنفين.
2. احذف سطر الصنف الثاني قبل الحفظ.
3. احفظ ثم أعد فتح المستند وراجع أرصدة الصنفين.</t>
  </si>
  <si>
    <t>SL-025</t>
  </si>
  <si>
    <t>1. جهز عرض سعر صحيحاً.
2. اكتب الملاحظة المحددة واحفظ.
3. أعد فتح نفس المستند.</t>
  </si>
  <si>
    <t>SL-026</t>
  </si>
  <si>
    <t>1. جهز عرض سعر بكمية 3 وسعر 100 وتأكد من إجمالي 300.
2. أدخل الخصم المحدد بعد اختيار نوعه الصحيح.
3. راجع صافي الشاشة ثم احفظ وأعد فتح المستند.</t>
  </si>
  <si>
    <t>SL-027</t>
  </si>
  <si>
    <t>SL-028</t>
  </si>
  <si>
    <t>1. جهز عرض سعر صحيحاً واضغط حفظ وطباعة.
2. سجل كود المستند وافتح تقرير الطباعة.
3. قارن اسم الطرف والصنف والكمية 3 والصافي 300 مع المستند المحفوظ.</t>
  </si>
  <si>
    <t>SL-029</t>
  </si>
  <si>
    <t>تعديل كمية مستند محفوظ</t>
  </si>
  <si>
    <t>1. أنشئ عرض سعر بكمية 3 واحفظ الكود.
2. افتح نفس المستند وغيّر الكمية إلى 2 ثم احفظ.
3. أعد فتحه وراجع الكود والكمية والصافي والمخزون.</t>
  </si>
  <si>
    <t>يظل الكود نفسه؛ الكمية 2 والصافي 200؛ رصيد الصنف 100 دون احتساب الحركة مرتين.</t>
  </si>
  <si>
    <t>SL-030</t>
  </si>
  <si>
    <t>حذف مستند الاختبار وعكس أثره</t>
  </si>
  <si>
    <t>1. أنشئ عرض سعر مستقلاً وسجل الكود والأرصدة قبل الإنشاء وبعده.
2. احذف نفس المستند باستخدام الإجراء المتاح والمعتمد.
3. ابحث عن الكود وراجع رصيد الصنف والطرف.</t>
  </si>
  <si>
    <t>يختفي المستند المقصود وتعود آثار حركته إلى خط الأساس؛ لا تحذف مستنداً آخر.</t>
  </si>
  <si>
    <t>بعض حالات المبيعات تستخدم API للحذف لأن القائمة لا تعرضه؛ إذا لم يتوفر إجراء يدوي معتمد سجّل محجوباً ولا تفترض وجود زر حذف.</t>
  </si>
  <si>
    <t>SL-031</t>
  </si>
  <si>
    <t>1. جهز عرض سعر وأضف صنفاً دون حفظ.
2. اضغط جديد.
3. راجع البنود وابحث عن الملاحظة الفريدة في القائمة.</t>
  </si>
  <si>
    <t>SL-032</t>
  </si>
  <si>
    <t>أمر بيع</t>
  </si>
  <si>
    <t>1. افتح أمر بيع جديداً واختر المخزن وعميل الاختبار.
2. أضف الصنف بواسطة القائمة وأدخل كمية 3 وسعر 100 وخصم صفر.
3. راجع الصافي 300 ثم احفظ وسجل كود المستند.
4. أعد فتح المستند وراجع الطرف والصنف والكمية، ثم راجع رصيد الصنف في المخزنين.</t>
  </si>
  <si>
    <t>src/test/java/Invoice/SalesOrderTest.java</t>
  </si>
  <si>
    <t>SL-033</t>
  </si>
  <si>
    <t>1. افتح أمر بيع جديداً واختر المخزن وعميل الاختبار.
2. أضف الصنف بواسطة الاسم وأدخل كمية 3 وسعر 100 وخصم صفر.
3. راجع الصافي 300 ثم احفظ وسجل كود المستند.
4. أعد فتح المستند وراجع الطرف والصنف والكمية، ثم راجع رصيد الصنف في المخزنين.</t>
  </si>
  <si>
    <t>SL-034</t>
  </si>
  <si>
    <t>1. افتح أمر بيع جديداً واختر المخزن وعميل الاختبار.
2. أضف الصنف بواسطة الباركود وأدخل كمية 3 وسعر 100 وخصم صفر.
3. راجع الصافي 300 ثم احفظ وسجل كود المستند.
4. أعد فتح المستند وراجع الطرف والصنف والكمية، ثم راجع رصيد الصنف في المخزنين.</t>
  </si>
  <si>
    <t>SL-035</t>
  </si>
  <si>
    <t>1. جهز أمر بيع ببيانات صحيحة وسجل رصيد الصنف قبل المحاولة.
2. اجعل الأصناف دون بنود واترك باقي البيانات صحيحة.
3. حاول الحفظ ثم ابحث عن الملاحظات الفريدة في القائمة.
4. راجع رصيد الصنف والطرف بعد المحاولة.</t>
  </si>
  <si>
    <t>SL-036</t>
  </si>
  <si>
    <t>1. جهز أمر بيع ببيانات صحيحة وسجل رصيد الصنف قبل المحاولة.
2. اجعل الكمية 0 واترك باقي البيانات صحيحة.
3. حاول الحفظ ثم ابحث عن الملاحظات الفريدة في القائمة.
4. راجع رصيد الصنف والطرف بعد المحاولة.</t>
  </si>
  <si>
    <t>SL-037</t>
  </si>
  <si>
    <t>1. جهز أمر بيع ببيانات صحيحة وسجل رصيد الصنف قبل المحاولة.
2. اجعل الكمية -1 واترك باقي البيانات صحيحة.
3. حاول الحفظ ثم ابحث عن الملاحظات الفريدة في القائمة.
4. راجع رصيد الصنف والطرف بعد المحاولة.</t>
  </si>
  <si>
    <t>SL-038</t>
  </si>
  <si>
    <t>1. جهز أمر بيع ببيانات صحيحة وسجل رصيد الصنف قبل المحاولة.
2. اجعل السعر -1 واترك باقي البيانات صحيحة.
3. حاول الحفظ ثم ابحث عن الملاحظات الفريدة في القائمة.
4. راجع رصيد الصنف والطرف بعد المحاولة.</t>
  </si>
  <si>
    <t>SL-039</t>
  </si>
  <si>
    <t>1. افتح أمر بيع ببيانات صحيحة.
2. أضف الصنف بكمية 1.25 وسعر 100 ثم احفظ.
3. أعد فتح المستند وراجع الكمية والصافي ورصيد المخزون.</t>
  </si>
  <si>
    <t>SL-040</t>
  </si>
  <si>
    <t>1. افتح أمر بيع وأضف الصنفين.
2. احذف سطر الصنف الثاني قبل الحفظ.
3. احفظ ثم أعد فتح المستند وراجع أرصدة الصنفين.</t>
  </si>
  <si>
    <t>SL-041</t>
  </si>
  <si>
    <t>1. جهز أمر بيع صحيحاً.
2. اكتب الملاحظة المحددة واحفظ.
3. أعد فتح نفس المستند.</t>
  </si>
  <si>
    <t>SL-042</t>
  </si>
  <si>
    <t>1. جهز أمر بيع بكمية 3 وسعر 100 وتأكد من إجمالي 300.
2. أدخل الخصم المحدد بعد اختيار نوعه الصحيح.
3. راجع صافي الشاشة ثم احفظ وأعد فتح المستند.</t>
  </si>
  <si>
    <t>SL-043</t>
  </si>
  <si>
    <t>SL-044</t>
  </si>
  <si>
    <t>1. جهز أمر بيع صحيحاً واضغط حفظ وطباعة.
2. سجل كود المستند وافتح تقرير الطباعة.
3. قارن اسم الطرف والصنف والكمية 3 والصافي 300 مع المستند المحفوظ.</t>
  </si>
  <si>
    <t>SL-045</t>
  </si>
  <si>
    <t>1. أنشئ أمر بيع بكمية 3 واحفظ الكود.
2. افتح نفس المستند وغيّر الكمية إلى 2 ثم احفظ.
3. أعد فتحه وراجع الكود والكمية والصافي والمخزون.</t>
  </si>
  <si>
    <t>SL-046</t>
  </si>
  <si>
    <t>1. أنشئ أمر بيع مستقلاً وسجل الكود والأرصدة قبل الإنشاء وبعده.
2. احذف نفس المستند باستخدام الإجراء المتاح والمعتمد.
3. ابحث عن الكود وراجع رصيد الصنف والطرف.</t>
  </si>
  <si>
    <t>SL-047</t>
  </si>
  <si>
    <t>1. جهز أمر بيع وأضف صنفاً دون حفظ.
2. اضغط جديد.
3. راجع البنود وابحث عن الملاحظة الفريدة في القائمة.</t>
  </si>
  <si>
    <t>SL-048</t>
  </si>
  <si>
    <t>مرتجع بيع حر</t>
  </si>
  <si>
    <t>1. افتح مرتجع بيع حر جديداً واختر المخزن وعميل الاختبار.
2. أضف الصنف بواسطة القائمة وأدخل كمية 3 وسعر 100 وخصم صفر.
3. راجع الصافي 300 ثم احفظ وسجل كود المستند.
4. أعد فتح المستند وراجع الطرف والصنف والكمية، ثم راجع رصيد الصنف في المخزنين.</t>
  </si>
  <si>
    <t>يحفظ مستند واحد بصافي 300 وبالطرف والصنف الصحيحين. رصيد المخزن قبل الحفظ 100 وبعد الحفظ 103. المخزن الآخر لا يتغير.</t>
  </si>
  <si>
    <t>src/test/java/Invoice/SalesReturnTest.java</t>
  </si>
  <si>
    <t>SL-049</t>
  </si>
  <si>
    <t>1. افتح مرتجع بيع حر جديداً واختر المخزن وعميل الاختبار.
2. أضف الصنف بواسطة الاسم وأدخل كمية 3 وسعر 100 وخصم صفر.
3. راجع الصافي 300 ثم احفظ وسجل كود المستند.
4. أعد فتح المستند وراجع الطرف والصنف والكمية، ثم راجع رصيد الصنف في المخزنين.</t>
  </si>
  <si>
    <t>SL-050</t>
  </si>
  <si>
    <t>1. افتح مرتجع بيع حر جديداً واختر المخزن وعميل الاختبار.
2. أضف الصنف بواسطة الباركود وأدخل كمية 3 وسعر 100 وخصم صفر.
3. راجع الصافي 300 ثم احفظ وسجل كود المستند.
4. أعد فتح المستند وراجع الطرف والصنف والكمية، ثم راجع رصيد الصنف في المخزنين.</t>
  </si>
  <si>
    <t>SL-051</t>
  </si>
  <si>
    <t>1. جهز مرتجع بيع حر ببيانات صحيحة وسجل رصيد الصنف قبل المحاولة.
2. اجعل الأصناف دون بنود واترك باقي البيانات صحيحة.
3. حاول الحفظ ثم ابحث عن الملاحظات الفريدة في القائمة.
4. راجع رصيد الصنف والطرف بعد المحاولة.</t>
  </si>
  <si>
    <t>SL-052</t>
  </si>
  <si>
    <t>1. جهز مرتجع بيع حر ببيانات صحيحة وسجل رصيد الصنف قبل المحاولة.
2. اجعل الكمية 0 واترك باقي البيانات صحيحة.
3. حاول الحفظ ثم ابحث عن الملاحظات الفريدة في القائمة.
4. راجع رصيد الصنف والطرف بعد المحاولة.</t>
  </si>
  <si>
    <t>SL-053</t>
  </si>
  <si>
    <t>1. جهز مرتجع بيع حر ببيانات صحيحة وسجل رصيد الصنف قبل المحاولة.
2. اجعل الكمية -1 واترك باقي البيانات صحيحة.
3. حاول الحفظ ثم ابحث عن الملاحظات الفريدة في القائمة.
4. راجع رصيد الصنف والطرف بعد المحاولة.</t>
  </si>
  <si>
    <t>SL-054</t>
  </si>
  <si>
    <t>1. جهز مرتجع بيع حر ببيانات صحيحة وسجل رصيد الصنف قبل المحاولة.
2. اجعل السعر -1 واترك باقي البيانات صحيحة.
3. حاول الحفظ ثم ابحث عن الملاحظات الفريدة في القائمة.
4. راجع رصيد الصنف والطرف بعد المحاولة.</t>
  </si>
  <si>
    <t>SL-055</t>
  </si>
  <si>
    <t>1. افتح مرتجع بيع حر ببيانات صحيحة.
2. أضف الصنف بكمية 1.25 وسعر 100 ثم احفظ.
3. أعد فتح المستند وراجع الكمية والصافي ورصيد المخزون.</t>
  </si>
  <si>
    <t>الكمية 1.25 والصافي 125؛ رصيد المخزون 101.25 والمخزن الآخر لا يتغير.</t>
  </si>
  <si>
    <t>SL-056</t>
  </si>
  <si>
    <t>1. افتح مرتجع بيع حر وأضف الصنفين.
2. احذف سطر الصنف الثاني قبل الحفظ.
3. احفظ ثم أعد فتح المستند وراجع أرصدة الصنفين.</t>
  </si>
  <si>
    <t>SL-057</t>
  </si>
  <si>
    <t>1. جهز مرتجع بيع حر صحيحاً.
2. اكتب الملاحظة المحددة واحفظ.
3. أعد فتح نفس المستند.</t>
  </si>
  <si>
    <t>SL-058</t>
  </si>
  <si>
    <t>1. جهز مرتجع بيع حر بكمية 3 وسعر 100 وتأكد من إجمالي 300.
2. أدخل الخصم المحدد بعد اختيار نوعه الصحيح.
3. راجع صافي الشاشة ثم احفظ وأعد فتح المستند.</t>
  </si>
  <si>
    <t>SL-059</t>
  </si>
  <si>
    <t>SL-060</t>
  </si>
  <si>
    <t>1. جهز مرتجع بيع حر صحيحاً واضغط حفظ وطباعة.
2. سجل كود المستند وافتح تقرير الطباعة.
3. قارن اسم الطرف والصنف والكمية 3 والصافي 300 مع المستند المحفوظ.</t>
  </si>
  <si>
    <t>SL-061</t>
  </si>
  <si>
    <t>1. أنشئ مرتجع بيع حر بكمية 3 واحفظ الكود.
2. افتح نفس المستند وغيّر الكمية إلى 2 ثم احفظ.
3. أعد فتحه وراجع الكود والكمية والصافي والمخزون.</t>
  </si>
  <si>
    <t>يظل الكود نفسه؛ الكمية 2 والصافي 200؛ رصيد الصنف 102 دون احتساب الحركة مرتين.</t>
  </si>
  <si>
    <t>SL-062</t>
  </si>
  <si>
    <t>1. أنشئ مرتجع بيع حر مستقلاً وسجل الكود والأرصدة قبل الإنشاء وبعده.
2. احذف نفس المستند باستخدام الإجراء المتاح والمعتمد.
3. ابحث عن الكود وراجع رصيد الصنف والطرف.</t>
  </si>
  <si>
    <t>SL-063</t>
  </si>
  <si>
    <t>1. جهز مرتجع بيع حر وأضف صنفاً دون حفظ.
2. اضغط جديد.
3. راجع البنود وابحث عن الملاحظة الفريدة في القائمة.</t>
  </si>
  <si>
    <t>SL-064</t>
  </si>
  <si>
    <t>قائمة المبيعات</t>
  </si>
  <si>
    <t>تصفية حسب الطرف</t>
  </si>
  <si>
    <t>عميل مستقل؛ مستندان له بكودين ومرجعين مختلفين؛ مستند لطرف آخر؛ تواريخ معلومة.</t>
  </si>
  <si>
    <t>1. افتح قائمة المبيعات وانتظر اكتمال التحميل.
2. اختر الطرف بقيمة أحد مستندي الاختبار وطبّق البحث.
3. راجع الأكواد ثم أدخل قيمة غير مطابقة وأعد البحث.
4. امسح معيار البحث وأعد تطبيقه.</t>
  </si>
  <si>
    <t>تظهر السجلات المطابقة فقط؛ البحث غير المطابق يزيل النتائج السابقة، ومسح المعيار يعيد النتائج ضمن باقي الفلاتر.</t>
  </si>
  <si>
    <t>src/test/java/Invoice/SalesListCoverageTest.java</t>
  </si>
  <si>
    <t>SL-065</t>
  </si>
  <si>
    <t>تصفية حسب الكود</t>
  </si>
  <si>
    <t>1. افتح قائمة المبيعات وانتظر اكتمال التحميل.
2. اختر الكود بقيمة أحد مستندي الاختبار وطبّق البحث.
3. راجع الأكواد ثم أدخل قيمة غير مطابقة وأعد البحث.
4. امسح معيار البحث وأعد تطبيقه.</t>
  </si>
  <si>
    <t>SL-066</t>
  </si>
  <si>
    <t>تصفية حسب الملاحظات</t>
  </si>
  <si>
    <t>1. افتح قائمة المبيعات وانتظر اكتمال التحميل.
2. اختر الملاحظات بقيمة أحد مستندي الاختبار وطبّق البحث.
3. راجع الأكواد ثم أدخل قيمة غير مطابقة وأعد البحث.
4. امسح معيار البحث وأعد تطبيقه.</t>
  </si>
  <si>
    <t>SL-067</t>
  </si>
  <si>
    <t>تصفية حسب تاريخ المستند</t>
  </si>
  <si>
    <t>1. افتح قائمة المبيعات وانتظر اكتمال التحميل.
2. اختر تاريخ المستند بقيمة أحد مستندي الاختبار وطبّق البحث.
3. راجع الأكواد ثم أدخل قيمة غير مطابقة وأعد البحث.
4. امسح معيار البحث وأعد تطبيقه.</t>
  </si>
  <si>
    <t>SL-068</t>
  </si>
  <si>
    <t>تصدير نتائج PDF</t>
  </si>
  <si>
    <t>طرف مستقل ومستندان معروفا الكود والقيمة.</t>
  </si>
  <si>
    <t>1. افتح قائمة المبيعات وفلتر على طرف الاختبار.
2. صدّر PDF وانتظر الملف.
3. افتح الملف وراجع وجود المستندين والأكواد والإجماليات.</t>
  </si>
  <si>
    <t>ملف فعلي قابل للفتح؛ بياناته تطابق النتائج المقصودة بالتصدير.</t>
  </si>
  <si>
    <t>SL-069</t>
  </si>
  <si>
    <t>تصدير نتائج Excel</t>
  </si>
  <si>
    <t>1. افتح قائمة المبيعات وفلتر على طرف الاختبار.
2. صدّر Excel وانتظر الملف.
3. افتح الملف وراجع وجود المستندين والأكواد والإجماليات.</t>
  </si>
  <si>
    <t>SL-070</t>
  </si>
  <si>
    <t>تغيير حجم الصفحة إلى 10</t>
  </si>
  <si>
    <t>منخفضة</t>
  </si>
  <si>
    <t>مستندان لطرف مستقل؛ حجم الصفحة المطلوب 10.</t>
  </si>
  <si>
    <t>1. افتح قائمة المبيعات وفلتر على طرف الاختبار.
2. اختر حجم الصفحة المذكور إذا كان ضمن الخيارات المعروضة.
3. راجع الأكواد وعدد النتائج قبل وبعد التغيير.</t>
  </si>
  <si>
    <t>لا تختفي مستندات الاختبار ولا تظهر مستندات طرف آخر؛ إذا لم يدعم الإصدار الحجم سجل غير منطبق.</t>
  </si>
  <si>
    <t>قيم تصميمية للتنفيذ اليدوي؛ طابق الخيارات الفعلية مع إصدار النظام.</t>
  </si>
  <si>
    <t>SL-071</t>
  </si>
  <si>
    <t>تغيير حجم الصفحة إلى 20</t>
  </si>
  <si>
    <t>مستندان لطرف مستقل؛ حجم الصفحة المطلوب 20.</t>
  </si>
  <si>
    <t>SL-072</t>
  </si>
  <si>
    <t>تغيير حجم الصفحة إلى 50</t>
  </si>
  <si>
    <t>مستندان لطرف مستقل؛ حجم الصفحة المطلوب 50.</t>
  </si>
  <si>
    <t>SL-073</t>
  </si>
  <si>
    <t>تغيير حجم الصفحة إلى 100</t>
  </si>
  <si>
    <t>مستندان لطرف مستقل؛ حجم الصفحة المطلوب 100.</t>
  </si>
  <si>
    <t>SL-074</t>
  </si>
  <si>
    <t>أمر بيع نقدي</t>
  </si>
  <si>
    <t>أثر دفعة مقدمة دون حركة مخزون</t>
  </si>
  <si>
    <t>عميل ورصيد صنف مستقلان؛ كمية 3 وسعر 100؛ دفع فعلي 300 بوسيلة بنك اختبارية.</t>
  </si>
  <si>
    <t>1. سجل رصيد العميل والمخزون قبل الإنشاء.
2. أنشئ أمر بيع نقدياً وأدخل دفعة 300 ثم احفظ.
3. أعد فتح الأمر وراجع المدفوع والصافي، ثم قارن كشف العميل والمخزون.</t>
  </si>
  <si>
    <t>يحفظ مدفوع وصافي 300؛ المخزون لا يتغير؛ ينخفض صافي مديونية العميل بمقدار 300 باعتباره دفعة مقدمة.</t>
  </si>
  <si>
    <t>docs/sales/KNOWN_BUGS.md</t>
  </si>
  <si>
    <t>عيب موثق سابقاً: رصيد العميل لم يتغير. يحتاج إعادة تنفيذ حالية.</t>
  </si>
  <si>
    <t>SL-075</t>
  </si>
  <si>
    <t>مرتجع بيع مرتبط</t>
  </si>
  <si>
    <t>التحقق من كمية المرتجع المرتبط</t>
  </si>
  <si>
    <t>فاتورة أصلية اختبارية بكمية 3 وسعر 100؛ لا مرتجعات سابقة.</t>
  </si>
  <si>
    <t>1. أنشئ الفاتورة الأصلية وسجل كودها ورصيد الصنف.
2. أنشئ مرتجعاً مرتبطاً من نفس الفاتورة.
3. حاول تغيير الكمية إلى 4 في البيع أو إلى 2 في الشراء واحفظ إن أتيح.
4. أعد فتح المرتجع وراجع الكمية والربط والأرصدة.</t>
  </si>
  <si>
    <t>لا تتجاوز كمية المرتجع كمية البيع الأصلية؛ الربط والأثر المخزني صحيحان.</t>
  </si>
  <si>
    <t>src/test/java/Invoice/LinkedSalesReturnTest.java</t>
  </si>
  <si>
    <t>قواعد المرتجع مختلفة بين البيع والشراء حسب العقود الحالية؛ لا توحدها بافتراض عام.</t>
  </si>
  <si>
    <t>حالات المشتريات</t>
  </si>
  <si>
    <t>PU-001</t>
  </si>
  <si>
    <t>فاتورة شراء</t>
  </si>
  <si>
    <t>مورد مستقل وصنف غير خاضع للضريبة بسعر 100 ورصيد 100 في مخزن الاختبار؛ كمية 3؛ خصم صفر؛ ملاحظات فريدة.</t>
  </si>
  <si>
    <t>1. افتح فاتورة شراء جديداً واختر المخزن ومورد الاختبار.
2. أضف الصنف بواسطة القائمة وأدخل كمية 3 وسعر 100 وخصم صفر.
3. راجع الصافي 300 ثم احفظ وسجل كود المستند.
4. أعد فتح المستند وراجع الطرف والصنف والكمية، ثم راجع رصيد الصنف في المخزنين.</t>
  </si>
  <si>
    <t>src/test/java/Purches/PurchaseInvoiceCoverageTest.java</t>
  </si>
  <si>
    <t>PU-002</t>
  </si>
  <si>
    <t>1. افتح فاتورة شراء جديداً واختر المخزن ومورد الاختبار.
2. أضف الصنف بواسطة الاسم وأدخل كمية 3 وسعر 100 وخصم صفر.
3. راجع الصافي 300 ثم احفظ وسجل كود المستند.
4. أعد فتح المستند وراجع الطرف والصنف والكمية، ثم راجع رصيد الصنف في المخزنين.</t>
  </si>
  <si>
    <t>PU-003</t>
  </si>
  <si>
    <t>1. افتح فاتورة شراء جديداً واختر المخزن ومورد الاختبار.
2. أضف الصنف بواسطة الباركود وأدخل كمية 3 وسعر 100 وخصم صفر.
3. راجع الصافي 300 ثم احفظ وسجل كود المستند.
4. أعد فتح المستند وراجع الطرف والصنف والكمية، ثم راجع رصيد الصنف في المخزنين.</t>
  </si>
  <si>
    <t>PU-004</t>
  </si>
  <si>
    <t>مورد مستقل وصنف غير خاضع للضريبة بسعر 100 ورصيد 100 في مخزن الاختبار؛ كمية 3؛ خصم صفر؛ ملاحظات فريدة.؛ تغيير الحالة: الأصناف = دون بنود.</t>
  </si>
  <si>
    <t>1. جهز فاتورة شراء ببيانات صحيحة وسجل رصيد الصنف قبل المحاولة.
2. اجعل الأصناف دون بنود واترك باقي البيانات صحيحة.
3. حاول الحفظ ثم ابحث عن الملاحظات الفريدة في القائمة.
4. راجع رصيد الصنف والطرف بعد المحاولة.</t>
  </si>
  <si>
    <t>PU-005</t>
  </si>
  <si>
    <t>مورد مستقل وصنف غير خاضع للضريبة بسعر 100 ورصيد 100 في مخزن الاختبار؛ كمية 3؛ خصم صفر؛ ملاحظات فريدة.؛ تغيير الحالة: الكمية = 0.</t>
  </si>
  <si>
    <t>1. جهز فاتورة شراء ببيانات صحيحة وسجل رصيد الصنف قبل المحاولة.
2. اجعل الكمية 0 واترك باقي البيانات صحيحة.
3. حاول الحفظ ثم ابحث عن الملاحظات الفريدة في القائمة.
4. راجع رصيد الصنف والطرف بعد المحاولة.</t>
  </si>
  <si>
    <t>PU-006</t>
  </si>
  <si>
    <t>مورد مستقل وصنف غير خاضع للضريبة بسعر 100 ورصيد 100 في مخزن الاختبار؛ كمية 3؛ خصم صفر؛ ملاحظات فريدة.؛ تغيير الحالة: الكمية = -1.</t>
  </si>
  <si>
    <t>1. جهز فاتورة شراء ببيانات صحيحة وسجل رصيد الصنف قبل المحاولة.
2. اجعل الكمية -1 واترك باقي البيانات صحيحة.
3. حاول الحفظ ثم ابحث عن الملاحظات الفريدة في القائمة.
4. راجع رصيد الصنف والطرف بعد المحاولة.</t>
  </si>
  <si>
    <t>PU-007</t>
  </si>
  <si>
    <t>مورد مستقل وصنف غير خاضع للضريبة بسعر 100 ورصيد 100 في مخزن الاختبار؛ كمية 3؛ خصم صفر؛ ملاحظات فريدة.؛ تغيير الحالة: السعر = -1.</t>
  </si>
  <si>
    <t>1. جهز فاتورة شراء ببيانات صحيحة وسجل رصيد الصنف قبل المحاولة.
2. اجعل السعر -1 واترك باقي البيانات صحيحة.
3. حاول الحفظ ثم ابحث عن الملاحظات الفريدة في القائمة.
4. راجع رصيد الصنف والطرف بعد المحاولة.</t>
  </si>
  <si>
    <t>PU-008</t>
  </si>
  <si>
    <t>مورد مستقل وصنف غير خاضع للضريبة بسعر 100 ورصيد 100 في مخزن الاختبار؛ كمية 3؛ خصم صفر؛ ملاحظات فريدة.؛ الكمية 1.25 بدلاً من 3.</t>
  </si>
  <si>
    <t>1. افتح فاتورة شراء ببيانات صحيحة.
2. أضف الصنف بكمية 1.25 وسعر 100 ثم احفظ.
3. أعد فتح المستند وراجع الكمية والصافي ورصيد المخزون.</t>
  </si>
  <si>
    <t>PU-009</t>
  </si>
  <si>
    <t>مورد مستقل وصنف غير خاضع للضريبة بسعر 100 ورصيد 100 في مخزن الاختبار؛ كمية 3؛ خصم صفر؛ ملاحظات فريدة.؛ صنفان مختلفان بسعر 100 لكل منهما وكمية 1.</t>
  </si>
  <si>
    <t>1. افتح فاتورة شراء وأضف الصنفين.
2. احذف سطر الصنف الثاني قبل الحفظ.
3. احفظ ثم أعد فتح المستند وراجع أرصدة الصنفين.</t>
  </si>
  <si>
    <t>PU-010</t>
  </si>
  <si>
    <t>مورد مستقل وصنف غير خاضع للضريبة بسعر 100 ورصيد 100 في مخزن الاختبار؛ كمية 3؛ خصم صفر؛ ملاحظات فريدة.؛ الملاحظة QA-MAN مراجعة Sales 123.</t>
  </si>
  <si>
    <t>1. جهز فاتورة شراء صحيحاً.
2. اكتب الملاحظة المحددة واحفظ.
3. أعد فتح نفس المستند.</t>
  </si>
  <si>
    <t>PU-011</t>
  </si>
  <si>
    <t>مورد مستقل وصنف غير خاضع للضريبة بسعر 100 ورصيد 100 في مخزن الاختبار؛ كمية 3؛ خصم صفر؛ ملاحظات فريدة.؛ صلاحية خصم معتمدة؛ خصم 10%.</t>
  </si>
  <si>
    <t>1. جهز فاتورة شراء بكمية 3 وسعر 100 وتأكد من إجمالي 300.
2. أدخل الخصم المحدد بعد اختيار نوعه الصحيح.
3. راجع صافي الشاشة ثم احفظ وأعد فتح المستند.</t>
  </si>
  <si>
    <t>PU-012</t>
  </si>
  <si>
    <t>مورد مستقل وصنف غير خاضع للضريبة بسعر 100 ورصيد 100 في مخزن الاختبار؛ كمية 3؛ خصم صفر؛ ملاحظات فريدة.؛ صلاحية خصم معتمدة؛ خصم 15 بالقيمة.</t>
  </si>
  <si>
    <t>PU-013</t>
  </si>
  <si>
    <t>1. جهز فاتورة شراء صحيحاً واضغط حفظ وطباعة.
2. سجل كود المستند وافتح تقرير الطباعة.
3. قارن اسم الطرف والصنف والكمية 3 والصافي 300 مع المستند المحفوظ.</t>
  </si>
  <si>
    <t>PU-014</t>
  </si>
  <si>
    <t>1. أنشئ فاتورة شراء بكمية 3 واحفظ الكود.
2. افتح نفس المستند وغيّر الكمية إلى 2 ثم احفظ.
3. أعد فتحه وراجع الكود والكمية والصافي والمخزون.</t>
  </si>
  <si>
    <t>PU-015</t>
  </si>
  <si>
    <t>1. أنشئ فاتورة شراء مستقلاً وسجل الكود والأرصدة قبل الإنشاء وبعده.
2. احذف نفس المستند باستخدام الإجراء المتاح والمعتمد.
3. ابحث عن الكود وراجع رصيد الصنف والطرف.</t>
  </si>
  <si>
    <t>PU-016</t>
  </si>
  <si>
    <t>1. جهز فاتورة شراء وأضف صنفاً دون حفظ.
2. اضغط جديد.
3. راجع البنود وابحث عن الملاحظة الفريدة في القائمة.</t>
  </si>
  <si>
    <t>PU-017</t>
  </si>
  <si>
    <t>أمر شراء</t>
  </si>
  <si>
    <t>1. افتح أمر شراء جديداً واختر المخزن ومورد الاختبار.
2. أضف الصنف بواسطة القائمة وأدخل كمية 3 وسعر 100 وخصم صفر.
3. راجع الصافي 300 ثم احفظ وسجل كود المستند.
4. أعد فتح المستند وراجع الطرف والصنف والكمية، ثم راجع رصيد الصنف في المخزنين.</t>
  </si>
  <si>
    <t>src/test/java/Purches/PurchaseOrderCoverageTest.java</t>
  </si>
  <si>
    <t>PU-018</t>
  </si>
  <si>
    <t>1. افتح أمر شراء جديداً واختر المخزن ومورد الاختبار.
2. أضف الصنف بواسطة الاسم وأدخل كمية 3 وسعر 100 وخصم صفر.
3. راجع الصافي 300 ثم احفظ وسجل كود المستند.
4. أعد فتح المستند وراجع الطرف والصنف والكمية، ثم راجع رصيد الصنف في المخزنين.</t>
  </si>
  <si>
    <t>PU-019</t>
  </si>
  <si>
    <t>1. افتح أمر شراء جديداً واختر المخزن ومورد الاختبار.
2. أضف الصنف بواسطة الباركود وأدخل كمية 3 وسعر 100 وخصم صفر.
3. راجع الصافي 300 ثم احفظ وسجل كود المستند.
4. أعد فتح المستند وراجع الطرف والصنف والكمية، ثم راجع رصيد الصنف في المخزنين.</t>
  </si>
  <si>
    <t>PU-020</t>
  </si>
  <si>
    <t>1. جهز أمر شراء ببيانات صحيحة وسجل رصيد الصنف قبل المحاولة.
2. اجعل الأصناف دون بنود واترك باقي البيانات صحيحة.
3. حاول الحفظ ثم ابحث عن الملاحظات الفريدة في القائمة.
4. راجع رصيد الصنف والطرف بعد المحاولة.</t>
  </si>
  <si>
    <t>PU-021</t>
  </si>
  <si>
    <t>1. جهز أمر شراء ببيانات صحيحة وسجل رصيد الصنف قبل المحاولة.
2. اجعل الكمية 0 واترك باقي البيانات صحيحة.
3. حاول الحفظ ثم ابحث عن الملاحظات الفريدة في القائمة.
4. راجع رصيد الصنف والطرف بعد المحاولة.</t>
  </si>
  <si>
    <t>PU-022</t>
  </si>
  <si>
    <t>1. جهز أمر شراء ببيانات صحيحة وسجل رصيد الصنف قبل المحاولة.
2. اجعل الكمية -1 واترك باقي البيانات صحيحة.
3. حاول الحفظ ثم ابحث عن الملاحظات الفريدة في القائمة.
4. راجع رصيد الصنف والطرف بعد المحاولة.</t>
  </si>
  <si>
    <t>PU-023</t>
  </si>
  <si>
    <t>1. جهز أمر شراء ببيانات صحيحة وسجل رصيد الصنف قبل المحاولة.
2. اجعل السعر -1 واترك باقي البيانات صحيحة.
3. حاول الحفظ ثم ابحث عن الملاحظات الفريدة في القائمة.
4. راجع رصيد الصنف والطرف بعد المحاولة.</t>
  </si>
  <si>
    <t>PU-024</t>
  </si>
  <si>
    <t>1. افتح أمر شراء ببيانات صحيحة.
2. أضف الصنف بكمية 1.25 وسعر 100 ثم احفظ.
3. أعد فتح المستند وراجع الكمية والصافي ورصيد المخزون.</t>
  </si>
  <si>
    <t>PU-025</t>
  </si>
  <si>
    <t>1. افتح أمر شراء وأضف الصنفين.
2. احذف سطر الصنف الثاني قبل الحفظ.
3. احفظ ثم أعد فتح المستند وراجع أرصدة الصنفين.</t>
  </si>
  <si>
    <t>PU-026</t>
  </si>
  <si>
    <t>1. جهز أمر شراء صحيحاً.
2. اكتب الملاحظة المحددة واحفظ.
3. أعد فتح نفس المستند.</t>
  </si>
  <si>
    <t>PU-027</t>
  </si>
  <si>
    <t>1. جهز أمر شراء صحيحاً واضغط حفظ وطباعة.
2. سجل كود المستند وافتح تقرير الطباعة.
3. قارن اسم الطرف والصنف والكمية 3 والصافي 300 مع المستند المحفوظ.</t>
  </si>
  <si>
    <t>PU-028</t>
  </si>
  <si>
    <t>1. أنشئ أمر شراء بكمية 3 واحفظ الكود.
2. افتح نفس المستند وغيّر الكمية إلى 2 ثم احفظ.
3. أعد فتحه وراجع الكود والكمية والصافي والمخزون.</t>
  </si>
  <si>
    <t>PU-029</t>
  </si>
  <si>
    <t>1. أنشئ أمر شراء مستقلاً وسجل الكود والأرصدة قبل الإنشاء وبعده.
2. احذف نفس المستند باستخدام الإجراء المتاح والمعتمد.
3. ابحث عن الكود وراجع رصيد الصنف والطرف.</t>
  </si>
  <si>
    <t>PU-030</t>
  </si>
  <si>
    <t>1. جهز أمر شراء وأضف صنفاً دون حفظ.
2. اضغط جديد.
3. راجع البنود وابحث عن الملاحظة الفريدة في القائمة.</t>
  </si>
  <si>
    <t>PU-031</t>
  </si>
  <si>
    <t>مرتجع شراء حر</t>
  </si>
  <si>
    <t>1. افتح مرتجع شراء حر جديداً واختر المخزن ومورد الاختبار.
2. أضف الصنف بواسطة القائمة وأدخل كمية 3 وسعر 100 وخصم صفر.
3. راجع الصافي 300 ثم احفظ وسجل كود المستند.
4. أعد فتح المستند وراجع الطرف والصنف والكمية، ثم راجع رصيد الصنف في المخزنين.</t>
  </si>
  <si>
    <t>src/test/java/Purches/PurchaseReturnCoverageTest.java</t>
  </si>
  <si>
    <t>PU-032</t>
  </si>
  <si>
    <t>1. افتح مرتجع شراء حر جديداً واختر المخزن ومورد الاختبار.
2. أضف الصنف بواسطة الاسم وأدخل كمية 3 وسعر 100 وخصم صفر.
3. راجع الصافي 300 ثم احفظ وسجل كود المستند.
4. أعد فتح المستند وراجع الطرف والصنف والكمية، ثم راجع رصيد الصنف في المخزنين.</t>
  </si>
  <si>
    <t>PU-033</t>
  </si>
  <si>
    <t>1. افتح مرتجع شراء حر جديداً واختر المخزن ومورد الاختبار.
2. أضف الصنف بواسطة الباركود وأدخل كمية 3 وسعر 100 وخصم صفر.
3. راجع الصافي 300 ثم احفظ وسجل كود المستند.
4. أعد فتح المستند وراجع الطرف والصنف والكمية، ثم راجع رصيد الصنف في المخزنين.</t>
  </si>
  <si>
    <t>PU-034</t>
  </si>
  <si>
    <t>1. جهز مرتجع شراء حر ببيانات صحيحة وسجل رصيد الصنف قبل المحاولة.
2. اجعل الأصناف دون بنود واترك باقي البيانات صحيحة.
3. حاول الحفظ ثم ابحث عن الملاحظات الفريدة في القائمة.
4. راجع رصيد الصنف والطرف بعد المحاولة.</t>
  </si>
  <si>
    <t>PU-035</t>
  </si>
  <si>
    <t>1. جهز مرتجع شراء حر ببيانات صحيحة وسجل رصيد الصنف قبل المحاولة.
2. اجعل الكمية 0 واترك باقي البيانات صحيحة.
3. حاول الحفظ ثم ابحث عن الملاحظات الفريدة في القائمة.
4. راجع رصيد الصنف والطرف بعد المحاولة.</t>
  </si>
  <si>
    <t>PU-036</t>
  </si>
  <si>
    <t>1. جهز مرتجع شراء حر ببيانات صحيحة وسجل رصيد الصنف قبل المحاولة.
2. اجعل الكمية -1 واترك باقي البيانات صحيحة.
3. حاول الحفظ ثم ابحث عن الملاحظات الفريدة في القائمة.
4. راجع رصيد الصنف والطرف بعد المحاولة.</t>
  </si>
  <si>
    <t>PU-037</t>
  </si>
  <si>
    <t>1. جهز مرتجع شراء حر ببيانات صحيحة وسجل رصيد الصنف قبل المحاولة.
2. اجعل السعر -1 واترك باقي البيانات صحيحة.
3. حاول الحفظ ثم ابحث عن الملاحظات الفريدة في القائمة.
4. راجع رصيد الصنف والطرف بعد المحاولة.</t>
  </si>
  <si>
    <t>PU-038</t>
  </si>
  <si>
    <t>1. افتح مرتجع شراء حر ببيانات صحيحة.
2. أضف الصنف بكمية 1.25 وسعر 100 ثم احفظ.
3. أعد فتح المستند وراجع الكمية والصافي ورصيد المخزون.</t>
  </si>
  <si>
    <t>PU-039</t>
  </si>
  <si>
    <t>1. افتح مرتجع شراء حر وأضف الصنفين.
2. احذف سطر الصنف الثاني قبل الحفظ.
3. احفظ ثم أعد فتح المستند وراجع أرصدة الصنفين.</t>
  </si>
  <si>
    <t>PU-040</t>
  </si>
  <si>
    <t>1. جهز مرتجع شراء حر صحيحاً.
2. اكتب الملاحظة المحددة واحفظ.
3. أعد فتح نفس المستند.</t>
  </si>
  <si>
    <t>PU-041</t>
  </si>
  <si>
    <t>1. جهز مرتجع شراء حر بكمية 3 وسعر 100 وتأكد من إجمالي 300.
2. أدخل الخصم المحدد بعد اختيار نوعه الصحيح.
3. راجع صافي الشاشة ثم احفظ وأعد فتح المستند.</t>
  </si>
  <si>
    <t>PU-042</t>
  </si>
  <si>
    <t>PU-043</t>
  </si>
  <si>
    <t>1. جهز مرتجع شراء حر صحيحاً واضغط حفظ وطباعة.
2. سجل كود المستند وافتح تقرير الطباعة.
3. قارن اسم الطرف والصنف والكمية 3 والصافي 300 مع المستند المحفوظ.</t>
  </si>
  <si>
    <t>PU-044</t>
  </si>
  <si>
    <t>1. أنشئ مرتجع شراء حر بكمية 3 واحفظ الكود.
2. افتح نفس المستند وغيّر الكمية إلى 2 ثم احفظ.
3. أعد فتحه وراجع الكود والكمية والصافي والمخزون.</t>
  </si>
  <si>
    <t>يظل الكود نفسه؛ الكمية 2 والصافي 200؛ رصيد الصنف 98 دون احتساب الحركة مرتين.</t>
  </si>
  <si>
    <t>PU-045</t>
  </si>
  <si>
    <t>1. أنشئ مرتجع شراء حر مستقلاً وسجل الكود والأرصدة قبل الإنشاء وبعده.
2. احذف نفس المستند باستخدام الإجراء المتاح والمعتمد.
3. ابحث عن الكود وراجع رصيد الصنف والطرف.</t>
  </si>
  <si>
    <t>PU-046</t>
  </si>
  <si>
    <t>1. جهز مرتجع شراء حر وأضف صنفاً دون حفظ.
2. اضغط جديد.
3. راجع البنود وابحث عن الملاحظة الفريدة في القائمة.</t>
  </si>
  <si>
    <t>PU-047</t>
  </si>
  <si>
    <t>قائمة المشتريات</t>
  </si>
  <si>
    <t>مورد مستقل؛ مستندان له بكودين ومرجعين مختلفين؛ مستند لطرف آخر؛ تواريخ معلومة.</t>
  </si>
  <si>
    <t>1. افتح قائمة المشتريات وانتظر اكتمال التحميل.
2. اختر الطرف بقيمة أحد مستندي الاختبار وطبّق البحث.
3. راجع الأكواد ثم أدخل قيمة غير مطابقة وأعد البحث.
4. امسح معيار البحث وأعد تطبيقه.</t>
  </si>
  <si>
    <t>src/test/java/Purches/PurchaseListCoverageTest.java</t>
  </si>
  <si>
    <t>PU-048</t>
  </si>
  <si>
    <t>1. افتح قائمة المشتريات وانتظر اكتمال التحميل.
2. اختر الكود بقيمة أحد مستندي الاختبار وطبّق البحث.
3. راجع الأكواد ثم أدخل قيمة غير مطابقة وأعد البحث.
4. امسح معيار البحث وأعد تطبيقه.</t>
  </si>
  <si>
    <t>PU-049</t>
  </si>
  <si>
    <t>تصفية حسب المرجع</t>
  </si>
  <si>
    <t>1. افتح قائمة المشتريات وانتظر اكتمال التحميل.
2. اختر المرجع بقيمة أحد مستندي الاختبار وطبّق البحث.
3. راجع الأكواد ثم أدخل قيمة غير مطابقة وأعد البحث.
4. امسح معيار البحث وأعد تطبيقه.</t>
  </si>
  <si>
    <t>PU-050</t>
  </si>
  <si>
    <t>1. افتح قائمة المشتريات وانتظر اكتمال التحميل.
2. اختر تاريخ المستند بقيمة أحد مستندي الاختبار وطبّق البحث.
3. راجع الأكواد ثم أدخل قيمة غير مطابقة وأعد البحث.
4. امسح معيار البحث وأعد تطبيقه.</t>
  </si>
  <si>
    <t>PU-051</t>
  </si>
  <si>
    <t>1. افتح قائمة المشتريات وفلتر على طرف الاختبار.
2. صدّر PDF وانتظر الملف.
3. افتح الملف وراجع وجود المستندين والأكواد والإجماليات.</t>
  </si>
  <si>
    <t>PU-052</t>
  </si>
  <si>
    <t>1. افتح قائمة المشتريات وفلتر على طرف الاختبار.
2. صدّر Excel وانتظر الملف.
3. افتح الملف وراجع وجود المستندين والأكواد والإجماليات.</t>
  </si>
  <si>
    <t>PU-053</t>
  </si>
  <si>
    <t>1. افتح قائمة المشتريات وفلتر على طرف الاختبار.
2. اختر حجم الصفحة المذكور إذا كان ضمن الخيارات المعروضة.
3. راجع الأكواد وعدد النتائج قبل وبعد التغيير.</t>
  </si>
  <si>
    <t>PU-054</t>
  </si>
  <si>
    <t>PU-055</t>
  </si>
  <si>
    <t>PU-056</t>
  </si>
  <si>
    <t>PU-057</t>
  </si>
  <si>
    <t>أمر شراء نقدي</t>
  </si>
  <si>
    <t>إنشاء سند القبض المرتبط دون حركة مخزون</t>
  </si>
  <si>
    <t>مورد مستقل؛ كمية 3 وسعر 100؛ دفع 300 بوسيلة دفع أخرى مرتبطة ببنك اختباري.</t>
  </si>
  <si>
    <t>1. سجل رصيد المخزون.
2. احفظ أمر شراء نقدياً مدفوعاً بالكامل.
3. ابحث عن سند القبض الخاص بمورد الاختبار وافتح تفاصيل الربط والقيمة.
4. راجع المخزون.</t>
  </si>
  <si>
    <t>ينشأ سند القبض المطلوب وفق العقد الموثق، بقيمة وربط صحيحين؛ المخزون لا يتغير.</t>
  </si>
  <si>
    <t>docs/purchases/KNOWN_BUGS.md</t>
  </si>
  <si>
    <t>العيب السابق خاص بمسار Other/bank؛ لا يعمم على دفع الخزينة دون تنفيذ.</t>
  </si>
  <si>
    <t>PU-058</t>
  </si>
  <si>
    <t>مرتجع شراء مرتبط</t>
  </si>
  <si>
    <t>تبقى كمية المرتجع مساوية لكمية المصدر 3 وفق قاعدة المشروع الموثقة؛ لا يحفظ التغيير إلى 2.</t>
  </si>
  <si>
    <t>src/test/java/Purches/PurchaseLinkedCoverageTest.java</t>
  </si>
  <si>
    <t>PU-059</t>
  </si>
  <si>
    <t>تحويل أمر الشراء</t>
  </si>
  <si>
    <t>تحويل أمر شراء إلى فاتورة</t>
  </si>
  <si>
    <t>أمر شراء مستقل بكمية 3 وسعر 100؛ رصيد الصنف قبل الأمر 100.</t>
  </si>
  <si>
    <t>1. أنشئ أمر الشراء وتأكد أن المخزون ما زال 100.
2. حوّل الأمر إلى فاتورة شراء وسجل الربط بين المستندين.
3. أعد فتح الفاتورة وراجع البنود والمورد ثم المخزون.</t>
  </si>
  <si>
    <t>تحفظ فاتورة مرتبطة بالأمر بصافي 300؛ يصبح المخزون 103 مرة واحدة فقط.</t>
  </si>
  <si>
    <t>حالات المخازن</t>
  </si>
  <si>
    <t>ST-001</t>
  </si>
  <si>
    <t>إذن صرف</t>
  </si>
  <si>
    <t>حفظ حركة صحيحة والتحقق من الرصيد</t>
  </si>
  <si>
    <t>صنف مستقل ووحدة وفئة؛ مخزنان مستقلان؛ رصيد أول 100 وثان 20؛ كمية 3؛ تكلفة 80؛ أطراف اختبارية عند الحاجة.</t>
  </si>
  <si>
    <t>1. سجل أرصدة أصناف الحالة وافتح إذن صرف.
2. اختر المخازن والأطراف المطلوبة وأضف الأصناف بالكميات المحددة.
3. احفظ وسجل الكود ثم أعد فتحه وراجع البنود.
4. راجع أرصدة الأصناف في المصدر والوجهة.</t>
  </si>
  <si>
    <t>رصيد المخزن الأول 97؛ المخزن الآخر 20.</t>
  </si>
  <si>
    <t>src/test/java/StoreTest/ExchangeOrderTest.java</t>
  </si>
  <si>
    <t>ST-002</t>
  </si>
  <si>
    <t>رفض كمية 0</t>
  </si>
  <si>
    <t>صنف مستقل ووحدة وفئة؛ مخزنان مستقلان؛ رصيد أول 100 وثان 20؛ كمية 3؛ تكلفة 80؛ أطراف اختبارية عند الحاجة.؛ كمية الحركة 0.</t>
  </si>
  <si>
    <t>1. جهز إذن صرف صحيحاً وسجل الأرصدة.
2. أدخل الكمية المحددة وحاول الحفظ.
3. ابحث عن المستند وراجع الأرصدة.</t>
  </si>
  <si>
    <t>يرفض الحفظ ولا ينشأ مستند ولا تتغير الأرصدة.</t>
  </si>
  <si>
    <t>ST-003</t>
  </si>
  <si>
    <t>رفض كمية -1</t>
  </si>
  <si>
    <t>صنف مستقل ووحدة وفئة؛ مخزنان مستقلان؛ رصيد أول 100 وثان 20؛ كمية 3؛ تكلفة 80؛ أطراف اختبارية عند الحاجة.؛ كمية الحركة -1.</t>
  </si>
  <si>
    <t>ST-004</t>
  </si>
  <si>
    <t>إلغاء الإنشاء دون أثر مخزني</t>
  </si>
  <si>
    <t>1. جهز إذن صرف؛ احفظ مستنداً مستقلاً أولاً إذا كانت الحالة تعديل أو حذف وسجل رصيده الحالي.
2. ابدأ العملية المحددة ثم ألغها دون تأكيد الحفظ أو الحذف.
3. أعد فتح المستند إن وجد وراجع البنود وأرصدة الأصناف.</t>
  </si>
  <si>
    <t>تبقى البيانات والأرصدة كما كانت قبل العملية الملغاة؛ إلغاء الإنشاء لا يترك مستنداً.</t>
  </si>
  <si>
    <t>ST-005</t>
  </si>
  <si>
    <t>إلغاء التعديل دون أثر مخزني</t>
  </si>
  <si>
    <t>ST-006</t>
  </si>
  <si>
    <t>إلغاء الحذف دون أثر مخزني</t>
  </si>
  <si>
    <t>ST-007</t>
  </si>
  <si>
    <t>حذف حركة الاختبار وعكس الأرصدة</t>
  </si>
  <si>
    <t>1. أنشئ إذن صرف مستقلاً وسجل الكود والأرصدة قبل الإنشاء وبعده.
2. احذف نفس الحركة وأكد العملية.
3. ابحث بالكود وراجع أرصدة الأصناف.</t>
  </si>
  <si>
    <t>تحذف الحركة المقصودة وتعود الأرصدة إلى قيمها قبل إنشائها.</t>
  </si>
  <si>
    <t>ST-008</t>
  </si>
  <si>
    <t>1. أنشئ حركة مستقلة في إذن صرف ثم ابحث عن كودها.
2. صدّر القائمة إلى PDF.
3. افتح الملف الناتج وراجع الكود والبيانات.</t>
  </si>
  <si>
    <t>ينزل ملف فعلي سليم وتظهر حركة الاختبار بالقيم الصحيحة.</t>
  </si>
  <si>
    <t>ST-009</t>
  </si>
  <si>
    <t>1. أنشئ حركة مستقلة في إذن صرف ثم ابحث عن كودها.
2. صدّر القائمة إلى Excel.
3. افتح الملف الناتج وراجع الكود والبيانات.</t>
  </si>
  <si>
    <t>ST-010</t>
  </si>
  <si>
    <t>إذن إضافة</t>
  </si>
  <si>
    <t>1. سجل أرصدة أصناف الحالة وافتح إذن إضافة.
2. اختر المخازن والأطراف المطلوبة وأضف الأصناف بالكميات المحددة.
3. احفظ وسجل الكود ثم أعد فتحه وراجع البنود.
4. راجع أرصدة الأصناف في المصدر والوجهة.</t>
  </si>
  <si>
    <t>رصيد المخزن الأول 103؛ المخزن الآخر 20.</t>
  </si>
  <si>
    <t>src/test/java/StoreTest/AdditionOrderTest.java</t>
  </si>
  <si>
    <t>ST-011</t>
  </si>
  <si>
    <t>1. جهز إذن إضافة صحيحاً وسجل الأرصدة.
2. أدخل الكمية المحددة وحاول الحفظ.
3. ابحث عن المستند وراجع الأرصدة.</t>
  </si>
  <si>
    <t>ST-012</t>
  </si>
  <si>
    <t>ST-013</t>
  </si>
  <si>
    <t>1. جهز إذن إضافة؛ احفظ مستنداً مستقلاً أولاً إذا كانت الحالة تعديل أو حذف وسجل رصيده الحالي.
2. ابدأ العملية المحددة ثم ألغها دون تأكيد الحفظ أو الحذف.
3. أعد فتح المستند إن وجد وراجع البنود وأرصدة الأصناف.</t>
  </si>
  <si>
    <t>ST-014</t>
  </si>
  <si>
    <t>ST-015</t>
  </si>
  <si>
    <t>ST-016</t>
  </si>
  <si>
    <t>1. أنشئ إذن إضافة مستقلاً وسجل الكود والأرصدة قبل الإنشاء وبعده.
2. احذف نفس الحركة وأكد العملية.
3. ابحث بالكود وراجع أرصدة الأصناف.</t>
  </si>
  <si>
    <t>ST-017</t>
  </si>
  <si>
    <t>1. أنشئ حركة مستقلة في إذن إضافة ثم ابحث عن كودها.
2. صدّر القائمة إلى PDF.
3. افتح الملف الناتج وراجع الكود والبيانات.</t>
  </si>
  <si>
    <t>ST-018</t>
  </si>
  <si>
    <t>1. أنشئ حركة مستقلة في إذن إضافة ثم ابحث عن كودها.
2. صدّر القائمة إلى Excel.
3. افتح الملف الناتج وراجع الكود والبيانات.</t>
  </si>
  <si>
    <t>ST-019</t>
  </si>
  <si>
    <t>تحويل مخزني</t>
  </si>
  <si>
    <t>1. سجل أرصدة أصناف الحالة وافتح تحويل مخزني.
2. اختر المخازن والأطراف المطلوبة وأضف الأصناف بالكميات المحددة.
3. احفظ وسجل الكود ثم أعد فتحه وراجع البنود.
4. راجع أرصدة الأصناف في المصدر والوجهة.</t>
  </si>
  <si>
    <t>رصيد المصدر 97 والوجهة 23؛ إجمالي المخزنين يظل 120.</t>
  </si>
  <si>
    <t>src/test/java/StoreTest/TransBetweenStoreTest.java</t>
  </si>
  <si>
    <t>ST-020</t>
  </si>
  <si>
    <t>1. جهز تحويل مخزني صحيحاً وسجل الأرصدة.
2. أدخل الكمية المحددة وحاول الحفظ.
3. ابحث عن المستند وراجع الأرصدة.</t>
  </si>
  <si>
    <t>ST-021</t>
  </si>
  <si>
    <t>ST-022</t>
  </si>
  <si>
    <t>1. جهز تحويل مخزني؛ احفظ مستنداً مستقلاً أولاً إذا كانت الحالة تعديل أو حذف وسجل رصيده الحالي.
2. ابدأ العملية المحددة ثم ألغها دون تأكيد الحفظ أو الحذف.
3. أعد فتح المستند إن وجد وراجع البنود وأرصدة الأصناف.</t>
  </si>
  <si>
    <t>ST-023</t>
  </si>
  <si>
    <t>ST-024</t>
  </si>
  <si>
    <t>ST-025</t>
  </si>
  <si>
    <t>1. أنشئ تحويل مخزني مستقلاً وسجل الكود والأرصدة قبل الإنشاء وبعده.
2. احذف نفس الحركة وأكد العملية.
3. ابحث بالكود وراجع أرصدة الأصناف.</t>
  </si>
  <si>
    <t>ST-026</t>
  </si>
  <si>
    <t>1. أنشئ حركة مستقلة في تحويل مخزني ثم ابحث عن كودها.
2. صدّر القائمة إلى PDF.
3. افتح الملف الناتج وراجع الكود والبيانات.</t>
  </si>
  <si>
    <t>ST-027</t>
  </si>
  <si>
    <t>1. أنشئ حركة مستقلة في تحويل مخزني ثم ابحث عن كودها.
2. صدّر القائمة إلى Excel.
3. افتح الملف الناتج وراجع الكود والبيانات.</t>
  </si>
  <si>
    <t>ST-028</t>
  </si>
  <si>
    <t>تسوية تالف</t>
  </si>
  <si>
    <t>1. سجل أرصدة أصناف الحالة وافتح تسوية تالف.
2. اختر المخازن والأطراف المطلوبة وأضف الأصناف بالكميات المحددة.
3. احفظ وسجل الكود ثم أعد فتحه وراجع البنود.
4. راجع أرصدة الأصناف في المصدر والوجهة.</t>
  </si>
  <si>
    <t>src/test/java/StoreTest/DamageAdjustmentTest.java</t>
  </si>
  <si>
    <t>ST-029</t>
  </si>
  <si>
    <t>1. جهز تسوية تالف صحيحاً وسجل الأرصدة.
2. أدخل الكمية المحددة وحاول الحفظ.
3. ابحث عن المستند وراجع الأرصدة.</t>
  </si>
  <si>
    <t>ST-030</t>
  </si>
  <si>
    <t>ST-031</t>
  </si>
  <si>
    <t>1. جهز تسوية تالف؛ احفظ مستنداً مستقلاً أولاً إذا كانت الحالة تعديل أو حذف وسجل رصيده الحالي.
2. ابدأ العملية المحددة ثم ألغها دون تأكيد الحفظ أو الحذف.
3. أعد فتح المستند إن وجد وراجع البنود وأرصدة الأصناف.</t>
  </si>
  <si>
    <t>ST-032</t>
  </si>
  <si>
    <t>ST-033</t>
  </si>
  <si>
    <t>ST-034</t>
  </si>
  <si>
    <t>1. أنشئ تسوية تالف مستقلاً وسجل الكود والأرصدة قبل الإنشاء وبعده.
2. احذف نفس الحركة وأكد العملية.
3. ابحث بالكود وراجع أرصدة الأصناف.</t>
  </si>
  <si>
    <t>ST-035</t>
  </si>
  <si>
    <t>1. أنشئ حركة مستقلة في تسوية تالف ثم ابحث عن كودها.
2. صدّر القائمة إلى PDF.
3. افتح الملف الناتج وراجع الكود والبيانات.</t>
  </si>
  <si>
    <t>ST-036</t>
  </si>
  <si>
    <t>1. أنشئ حركة مستقلة في تسوية تالف ثم ابحث عن كودها.
2. صدّر القائمة إلى Excel.
3. افتح الملف الناتج وراجع الكود والبيانات.</t>
  </si>
  <si>
    <t>ST-037</t>
  </si>
  <si>
    <t>أمر تصنيع</t>
  </si>
  <si>
    <t>منتج نهائي بمكون مستقل؛ رصيد المكون 100 والمنتج صفر؛ يلزم 5 وحدات مكون لإنتاج وحدة نهائية؛ كمية إنتاج 2.</t>
  </si>
  <si>
    <t>1. سجل أرصدة أصناف الحالة وافتح أمر تصنيع.
2. اختر المخازن والأطراف المطلوبة وأضف الأصناف بالكميات المحددة.
3. احفظ وسجل الكود ثم أعد فتحه وراجع البنود.
4. راجع أرصدة الأصناف في المصدر والوجهة.</t>
  </si>
  <si>
    <t>ينقص المكون 10 إلى 90 ويزيد المنتج النهائي 2؛ لا تتأثر أصناف أخرى. طابق تعريف تركيبة الصنف قبل التنفيذ.</t>
  </si>
  <si>
    <t>src/test/java/StoreTest/ManufacturingTest.java</t>
  </si>
  <si>
    <t>ST-038</t>
  </si>
  <si>
    <t>منتج نهائي بمكون مستقل؛ رصيد المكون 100 والمنتج صفر؛ يلزم 5 وحدات مكون لإنتاج وحدة نهائية؛ كمية إنتاج 2.؛ كمية الحركة 0.</t>
  </si>
  <si>
    <t>1. جهز أمر تصنيع صحيحاً وسجل الأرصدة.
2. أدخل الكمية المحددة وحاول الحفظ.
3. ابحث عن المستند وراجع الأرصدة.</t>
  </si>
  <si>
    <t>ST-039</t>
  </si>
  <si>
    <t>منتج نهائي بمكون مستقل؛ رصيد المكون 100 والمنتج صفر؛ يلزم 5 وحدات مكون لإنتاج وحدة نهائية؛ كمية إنتاج 2.؛ كمية الحركة -1.</t>
  </si>
  <si>
    <t>ST-040</t>
  </si>
  <si>
    <t>1. جهز أمر تصنيع؛ احفظ مستنداً مستقلاً أولاً إذا كانت الحالة تعديل أو حذف وسجل رصيده الحالي.
2. ابدأ العملية المحددة ثم ألغها دون تأكيد الحفظ أو الحذف.
3. أعد فتح المستند إن وجد وراجع البنود وأرصدة الأصناف.</t>
  </si>
  <si>
    <t>ST-041</t>
  </si>
  <si>
    <t>ST-042</t>
  </si>
  <si>
    <t>ST-043</t>
  </si>
  <si>
    <t>1. أنشئ أمر تصنيع مستقلاً وسجل الكود والأرصدة قبل الإنشاء وبعده.
2. احذف نفس الحركة وأكد العملية.
3. ابحث بالكود وراجع أرصدة الأصناف.</t>
  </si>
  <si>
    <t>ST-044</t>
  </si>
  <si>
    <t>1. أنشئ حركة مستقلة في أمر تصنيع ثم ابحث عن كودها.
2. صدّر القائمة إلى PDF.
3. افتح الملف الناتج وراجع الكود والبيانات.</t>
  </si>
  <si>
    <t>ST-045</t>
  </si>
  <si>
    <t>1. أنشئ حركة مستقلة في أمر تصنيع ثم ابحث عن كودها.
2. صدّر القائمة إلى Excel.
3. افتح الملف الناتج وراجع الكود والبيانات.</t>
  </si>
  <si>
    <t>حالات الحركات المالية</t>
  </si>
  <si>
    <t>FM-001</t>
  </si>
  <si>
    <t>سند قبض عميل</t>
  </si>
  <si>
    <t>حفظ حركة صحيحة وإعادة فتحها</t>
  </si>
  <si>
    <t>طرف وحساب مستقلان؛ مبلغ 100؛ ملاحظات فريدة؛ وسيلة دفع وبنك اختباريان عند ظهور حقول الدفع.</t>
  </si>
  <si>
    <t>1. افتح سند قبض عميل جديداً واختر الطرف أو نوع الحساب الصحيح.
2. أدخل 100 والملاحظات ووسيلة الدفع المطلوبة ثم احفظ.
3. ابحث بالكود وافتح نفس الحركة.</t>
  </si>
  <si>
    <t>تظهر القيمة 100 والطرف والملاحظات والربط الصحيحة دون إنشاء حركة مكررة. لا يستنتج اتجاه القيد المحاسبي من مجرد نجاح الحفظ.</t>
  </si>
  <si>
    <t>src/test/java/FinancialMovementsTest/CustomerReceiptTest.java</t>
  </si>
  <si>
    <t>FM-002</t>
  </si>
  <si>
    <t>رفض مبلغ 0</t>
  </si>
  <si>
    <t>طرف وحساب مستقلان؛ مبلغ 100؛ ملاحظات فريدة؛ وسيلة دفع وبنك اختباريان عند ظهور حقول الدفع.؛ المبلغ 0.</t>
  </si>
  <si>
    <t>1. جهز سند قبض عميل صحيحاً مع المبلغ المحدد.
2. حاول الحفظ وسجل رسالة التحقق.
3. ابحث بالملاحظات للتأكد من عدم إنشاء الحركة.</t>
  </si>
  <si>
    <t>يرفض الحفظ ولا تنشأ حركة مالية بالمبلغ غير المسموح.</t>
  </si>
  <si>
    <t>FM-003</t>
  </si>
  <si>
    <t>رفض مبلغ -1</t>
  </si>
  <si>
    <t>طرف وحساب مستقلان؛ مبلغ 100؛ ملاحظات فريدة؛ وسيلة دفع وبنك اختباريان عند ظهور حقول الدفع.؛ المبلغ -1.</t>
  </si>
  <si>
    <t>FM-004</t>
  </si>
  <si>
    <t>تعديل حركة مستقلة</t>
  </si>
  <si>
    <t>طرف وحساب مستقلان؛ مبلغ 100؛ ملاحظات فريدة؛ وسيلة دفع وبنك اختباريان عند ظهور حقول الدفع.؛ عند التعديل استخدم 250 بدلاً من 100.</t>
  </si>
  <si>
    <t>1. أنشئ حركة مستقلة في سند قبض عميل بمبلغ 100 وسجل الكود.
2. نفذ تعديل على نفس الحركة؛ أكد فقط إذا كانت الحالة ليست إلغاء.
3. ابحث بالكود وأعد فتح التفاصيل إن بقيت الحركة.</t>
  </si>
  <si>
    <t>يحفظ 250 بنفس كود الحركة دون إضافة نسخة ثانية.</t>
  </si>
  <si>
    <t>FM-005</t>
  </si>
  <si>
    <t>حذف حركة مستقلة</t>
  </si>
  <si>
    <t>1. أنشئ حركة مستقلة في سند قبض عميل بمبلغ 100 وسجل الكود.
2. نفذ حذف على نفس الحركة؛ أكد فقط إذا كانت الحالة ليست إلغاء.
3. ابحث بالكود وأعد فتح التفاصيل إن بقيت الحركة.</t>
  </si>
  <si>
    <t>يختفي نفس الكود فقط.</t>
  </si>
  <si>
    <t>FM-006</t>
  </si>
  <si>
    <t>إلغاء تعديل حركة مستقلة</t>
  </si>
  <si>
    <t>1. أنشئ حركة مستقلة في سند قبض عميل بمبلغ 100 وسجل الكود.
2. نفذ إلغاء تعديل على نفس الحركة؛ أكد فقط إذا كانت الحالة ليست إلغاء.
3. ابحث بالكود وأعد فتح التفاصيل إن بقيت الحركة.</t>
  </si>
  <si>
    <t>تبقى القيمة 100 والسجل موجوداً.</t>
  </si>
  <si>
    <t>FM-007</t>
  </si>
  <si>
    <t>إلغاء حذف حركة مستقلة</t>
  </si>
  <si>
    <t>1. أنشئ حركة مستقلة في سند قبض عميل بمبلغ 100 وسجل الكود.
2. نفذ إلغاء حذف على نفس الحركة؛ أكد فقط إذا كانت الحالة ليست إلغاء.
3. ابحث بالكود وأعد فتح التفاصيل إن بقيت الحركة.</t>
  </si>
  <si>
    <t>FM-008</t>
  </si>
  <si>
    <t>حفظ وطباعة حركة</t>
  </si>
  <si>
    <t>1. جهز سند قبض عميل بمبلغ 100.
2. اضغط حفظ وطباعة وسجل الكود.
3. قارن كود وطرف ومبلغ تقرير الطباعة بالحركة المحفوظة.</t>
  </si>
  <si>
    <t>يحفظ سجل واحد ويعرض التقرير نفس الطرف والمبلغ 100.</t>
  </si>
  <si>
    <t>FM-009</t>
  </si>
  <si>
    <t>1. أنشئ حركة مستقلة في سند قبض عميل وابحث عنها.
2. صدّر PDF وافتح الملف.
3. راجع الكود والمبلغ 100 والطرف.</t>
  </si>
  <si>
    <t>ملف فعلي قابل للفتح وبياناته صحيحة.</t>
  </si>
  <si>
    <t>FM-010</t>
  </si>
  <si>
    <t>1. أنشئ حركة مستقلة في سند قبض عميل وابحث عنها.
2. صدّر Excel وافتح الملف.
3. راجع الكود والمبلغ 100 والطرف.</t>
  </si>
  <si>
    <t>FM-011</t>
  </si>
  <si>
    <t>سند صرف مورد</t>
  </si>
  <si>
    <t>1. افتح سند صرف مورد جديداً واختر الطرف أو نوع الحساب الصحيح.
2. أدخل 100 والملاحظات ووسيلة الدفع المطلوبة ثم احفظ.
3. ابحث بالكود وافتح نفس الحركة.</t>
  </si>
  <si>
    <t>src/test/java/FinancialMovementsTest/SupplierBillOfExchangeTest.java</t>
  </si>
  <si>
    <t>FM-012</t>
  </si>
  <si>
    <t>1. جهز سند صرف مورد صحيحاً مع المبلغ المحدد.
2. حاول الحفظ وسجل رسالة التحقق.
3. ابحث بالملاحظات للتأكد من عدم إنشاء الحركة.</t>
  </si>
  <si>
    <t>FM-013</t>
  </si>
  <si>
    <t>FM-014</t>
  </si>
  <si>
    <t>1. أنشئ حركة مستقلة في سند صرف مورد بمبلغ 100 وسجل الكود.
2. نفذ تعديل على نفس الحركة؛ أكد فقط إذا كانت الحالة ليست إلغاء.
3. ابحث بالكود وأعد فتح التفاصيل إن بقيت الحركة.</t>
  </si>
  <si>
    <t>FM-015</t>
  </si>
  <si>
    <t>1. أنشئ حركة مستقلة في سند صرف مورد بمبلغ 100 وسجل الكود.
2. نفذ حذف على نفس الحركة؛ أكد فقط إذا كانت الحالة ليست إلغاء.
3. ابحث بالكود وأعد فتح التفاصيل إن بقيت الحركة.</t>
  </si>
  <si>
    <t>FM-016</t>
  </si>
  <si>
    <t>1. أنشئ حركة مستقلة في سند صرف مورد بمبلغ 100 وسجل الكود.
2. نفذ إلغاء تعديل على نفس الحركة؛ أكد فقط إذا كانت الحالة ليست إلغاء.
3. ابحث بالكود وأعد فتح التفاصيل إن بقيت الحركة.</t>
  </si>
  <si>
    <t>FM-017</t>
  </si>
  <si>
    <t>1. أنشئ حركة مستقلة في سند صرف مورد بمبلغ 100 وسجل الكود.
2. نفذ إلغاء حذف على نفس الحركة؛ أكد فقط إذا كانت الحالة ليست إلغاء.
3. ابحث بالكود وأعد فتح التفاصيل إن بقيت الحركة.</t>
  </si>
  <si>
    <t>FM-018</t>
  </si>
  <si>
    <t>1. جهز سند صرف مورد بمبلغ 100.
2. اضغط حفظ وطباعة وسجل الكود.
3. قارن كود وطرف ومبلغ تقرير الطباعة بالحركة المحفوظة.</t>
  </si>
  <si>
    <t>FM-019</t>
  </si>
  <si>
    <t>1. أنشئ حركة مستقلة في سند صرف مورد وابحث عنها.
2. صدّر PDF وافتح الملف.
3. راجع الكود والمبلغ 100 والطرف.</t>
  </si>
  <si>
    <t>FM-020</t>
  </si>
  <si>
    <t>1. أنشئ حركة مستقلة في سند صرف مورد وابحث عنها.
2. صدّر Excel وافتح الملف.
3. راجع الكود والمبلغ 100 والطرف.</t>
  </si>
  <si>
    <t>FM-021</t>
  </si>
  <si>
    <t>حركة مصروف</t>
  </si>
  <si>
    <t>1. افتح حركة مصروف جديداً واختر الطرف أو نوع الحساب الصحيح.
2. أدخل 100 والملاحظات ووسيلة الدفع المطلوبة ثم احفظ.
3. ابحث بالكود وافتح نفس الحركة.</t>
  </si>
  <si>
    <t>src/test/java/FinancialMovementsTest/ExpenseMovementTest.java</t>
  </si>
  <si>
    <t>FM-022</t>
  </si>
  <si>
    <t>1. جهز حركة مصروف صحيحاً مع المبلغ المحدد.
2. حاول الحفظ وسجل رسالة التحقق.
3. ابحث بالملاحظات للتأكد من عدم إنشاء الحركة.</t>
  </si>
  <si>
    <t>FM-023</t>
  </si>
  <si>
    <t>FM-024</t>
  </si>
  <si>
    <t>1. أنشئ حركة مستقلة في حركة مصروف بمبلغ 100 وسجل الكود.
2. نفذ تعديل على نفس الحركة؛ أكد فقط إذا كانت الحالة ليست إلغاء.
3. ابحث بالكود وأعد فتح التفاصيل إن بقيت الحركة.</t>
  </si>
  <si>
    <t>FM-025</t>
  </si>
  <si>
    <t>1. أنشئ حركة مستقلة في حركة مصروف بمبلغ 100 وسجل الكود.
2. نفذ حذف على نفس الحركة؛ أكد فقط إذا كانت الحالة ليست إلغاء.
3. ابحث بالكود وأعد فتح التفاصيل إن بقيت الحركة.</t>
  </si>
  <si>
    <t>FM-026</t>
  </si>
  <si>
    <t>1. أنشئ حركة مستقلة في حركة مصروف بمبلغ 100 وسجل الكود.
2. نفذ إلغاء تعديل على نفس الحركة؛ أكد فقط إذا كانت الحالة ليست إلغاء.
3. ابحث بالكود وأعد فتح التفاصيل إن بقيت الحركة.</t>
  </si>
  <si>
    <t>FM-027</t>
  </si>
  <si>
    <t>1. أنشئ حركة مستقلة في حركة مصروف بمبلغ 100 وسجل الكود.
2. نفذ إلغاء حذف على نفس الحركة؛ أكد فقط إذا كانت الحالة ليست إلغاء.
3. ابحث بالكود وأعد فتح التفاصيل إن بقيت الحركة.</t>
  </si>
  <si>
    <t>FM-028</t>
  </si>
  <si>
    <t>1. جهز حركة مصروف بمبلغ 100.
2. اضغط حفظ وطباعة وسجل الكود.
3. قارن كود وطرف ومبلغ تقرير الطباعة بالحركة المحفوظة.</t>
  </si>
  <si>
    <t>FM-029</t>
  </si>
  <si>
    <t>1. أنشئ حركة مستقلة في حركة مصروف وابحث عنها.
2. صدّر PDF وافتح الملف.
3. راجع الكود والمبلغ 100 والطرف.</t>
  </si>
  <si>
    <t>FM-030</t>
  </si>
  <si>
    <t>1. أنشئ حركة مستقلة في حركة مصروف وابحث عنها.
2. صدّر Excel وافتح الملف.
3. راجع الكود والمبلغ 100 والطرف.</t>
  </si>
  <si>
    <t>FM-031</t>
  </si>
  <si>
    <t>إيراد آخر</t>
  </si>
  <si>
    <t>1. افتح إيراد آخر جديداً واختر الطرف أو نوع الحساب الصحيح.
2. أدخل 100 والملاحظات ووسيلة الدفع المطلوبة ثم احفظ.
3. ابحث بالكود وافتح نفس الحركة.</t>
  </si>
  <si>
    <t>src/test/java/FinancialMovementsTest/OtherRevenueMovementTest.java</t>
  </si>
  <si>
    <t>FM-032</t>
  </si>
  <si>
    <t>1. جهز إيراد آخر صحيحاً مع المبلغ المحدد.
2. حاول الحفظ وسجل رسالة التحقق.
3. ابحث بالملاحظات للتأكد من عدم إنشاء الحركة.</t>
  </si>
  <si>
    <t>FM-033</t>
  </si>
  <si>
    <t>FM-034</t>
  </si>
  <si>
    <t>1. أنشئ حركة مستقلة في إيراد آخر بمبلغ 100 وسجل الكود.
2. نفذ تعديل على نفس الحركة؛ أكد فقط إذا كانت الحالة ليست إلغاء.
3. ابحث بالكود وأعد فتح التفاصيل إن بقيت الحركة.</t>
  </si>
  <si>
    <t>FM-035</t>
  </si>
  <si>
    <t>1. أنشئ حركة مستقلة في إيراد آخر بمبلغ 100 وسجل الكود.
2. نفذ حذف على نفس الحركة؛ أكد فقط إذا كانت الحالة ليست إلغاء.
3. ابحث بالكود وأعد فتح التفاصيل إن بقيت الحركة.</t>
  </si>
  <si>
    <t>FM-036</t>
  </si>
  <si>
    <t>1. أنشئ حركة مستقلة في إيراد آخر بمبلغ 100 وسجل الكود.
2. نفذ إلغاء تعديل على نفس الحركة؛ أكد فقط إذا كانت الحالة ليست إلغاء.
3. ابحث بالكود وأعد فتح التفاصيل إن بقيت الحركة.</t>
  </si>
  <si>
    <t>FM-037</t>
  </si>
  <si>
    <t>1. أنشئ حركة مستقلة في إيراد آخر بمبلغ 100 وسجل الكود.
2. نفذ إلغاء حذف على نفس الحركة؛ أكد فقط إذا كانت الحالة ليست إلغاء.
3. ابحث بالكود وأعد فتح التفاصيل إن بقيت الحركة.</t>
  </si>
  <si>
    <t>FM-038</t>
  </si>
  <si>
    <t>1. جهز إيراد آخر بمبلغ 100.
2. اضغط حفظ وطباعة وسجل الكود.
3. قارن كود وطرف ومبلغ تقرير الطباعة بالحركة المحفوظة.</t>
  </si>
  <si>
    <t>FM-039</t>
  </si>
  <si>
    <t>1. أنشئ حركة مستقلة في إيراد آخر وابحث عنها.
2. صدّر PDF وافتح الملف.
3. راجع الكود والمبلغ 100 والطرف.</t>
  </si>
  <si>
    <t>FM-040</t>
  </si>
  <si>
    <t>1. أنشئ حركة مستقلة في إيراد آخر وابحث عنها.
2. صدّر Excel وافتح الملف.
3. راجع الكود والمبلغ 100 والطرف.</t>
  </si>
  <si>
    <t>FM-041</t>
  </si>
  <si>
    <t>إشعار خصم عميل</t>
  </si>
  <si>
    <t>1. افتح إشعار خصم عميل جديداً واختر الطرف أو نوع الحساب الصحيح.
2. أدخل 100 والملاحظات ووسيلة الدفع المطلوبة ثم احفظ.
3. ابحث بالكود وافتح نفس الحركة.</t>
  </si>
  <si>
    <t>src/test/java/FinancialMovementsTest/CustomerDiscountNoticeTest.java</t>
  </si>
  <si>
    <t>FM-042</t>
  </si>
  <si>
    <t>1. جهز إشعار خصم عميل صحيحاً مع المبلغ المحدد.
2. حاول الحفظ وسجل رسالة التحقق.
3. ابحث بالملاحظات للتأكد من عدم إنشاء الحركة.</t>
  </si>
  <si>
    <t>FM-043</t>
  </si>
  <si>
    <t>FM-044</t>
  </si>
  <si>
    <t>1. أنشئ حركة مستقلة في إشعار خصم عميل بمبلغ 100 وسجل الكود.
2. نفذ تعديل على نفس الحركة؛ أكد فقط إذا كانت الحالة ليست إلغاء.
3. ابحث بالكود وأعد فتح التفاصيل إن بقيت الحركة.</t>
  </si>
  <si>
    <t>FM-045</t>
  </si>
  <si>
    <t>1. أنشئ حركة مستقلة في إشعار خصم عميل بمبلغ 100 وسجل الكود.
2. نفذ حذف على نفس الحركة؛ أكد فقط إذا كانت الحالة ليست إلغاء.
3. ابحث بالكود وأعد فتح التفاصيل إن بقيت الحركة.</t>
  </si>
  <si>
    <t>FM-046</t>
  </si>
  <si>
    <t>1. أنشئ حركة مستقلة في إشعار خصم عميل بمبلغ 100 وسجل الكود.
2. نفذ إلغاء تعديل على نفس الحركة؛ أكد فقط إذا كانت الحالة ليست إلغاء.
3. ابحث بالكود وأعد فتح التفاصيل إن بقيت الحركة.</t>
  </si>
  <si>
    <t>FM-047</t>
  </si>
  <si>
    <t>1. أنشئ حركة مستقلة في إشعار خصم عميل بمبلغ 100 وسجل الكود.
2. نفذ إلغاء حذف على نفس الحركة؛ أكد فقط إذا كانت الحالة ليست إلغاء.
3. ابحث بالكود وأعد فتح التفاصيل إن بقيت الحركة.</t>
  </si>
  <si>
    <t>FM-048</t>
  </si>
  <si>
    <t>1. جهز إشعار خصم عميل بمبلغ 100.
2. اضغط حفظ وطباعة وسجل الكود.
3. قارن كود وطرف ومبلغ تقرير الطباعة بالحركة المحفوظة.</t>
  </si>
  <si>
    <t>FM-049</t>
  </si>
  <si>
    <t>1. أنشئ حركة مستقلة في إشعار خصم عميل وابحث عنها.
2. صدّر PDF وافتح الملف.
3. راجع الكود والمبلغ 100 والطرف.</t>
  </si>
  <si>
    <t>FM-050</t>
  </si>
  <si>
    <t>1. أنشئ حركة مستقلة في إشعار خصم عميل وابحث عنها.
2. صدّر Excel وافتح الملف.
3. راجع الكود والمبلغ 100 والطرف.</t>
  </si>
  <si>
    <t>FM-051</t>
  </si>
  <si>
    <t>إشعار خصم مورد</t>
  </si>
  <si>
    <t>1. افتح إشعار خصم مورد جديداً واختر الطرف أو نوع الحساب الصحيح.
2. أدخل 100 والملاحظات ووسيلة الدفع المطلوبة ثم احفظ.
3. ابحث بالكود وافتح نفس الحركة.</t>
  </si>
  <si>
    <t>src/test/java/FinancialMovementsTest/SupplierDiscountNoticeTest.java</t>
  </si>
  <si>
    <t>FM-052</t>
  </si>
  <si>
    <t>1. جهز إشعار خصم مورد صحيحاً مع المبلغ المحدد.
2. حاول الحفظ وسجل رسالة التحقق.
3. ابحث بالملاحظات للتأكد من عدم إنشاء الحركة.</t>
  </si>
  <si>
    <t>FM-053</t>
  </si>
  <si>
    <t>FM-054</t>
  </si>
  <si>
    <t>1. أنشئ حركة مستقلة في إشعار خصم مورد بمبلغ 100 وسجل الكود.
2. نفذ تعديل على نفس الحركة؛ أكد فقط إذا كانت الحالة ليست إلغاء.
3. ابحث بالكود وأعد فتح التفاصيل إن بقيت الحركة.</t>
  </si>
  <si>
    <t>FM-055</t>
  </si>
  <si>
    <t>1. أنشئ حركة مستقلة في إشعار خصم مورد بمبلغ 100 وسجل الكود.
2. نفذ حذف على نفس الحركة؛ أكد فقط إذا كانت الحالة ليست إلغاء.
3. ابحث بالكود وأعد فتح التفاصيل إن بقيت الحركة.</t>
  </si>
  <si>
    <t>FM-056</t>
  </si>
  <si>
    <t>1. أنشئ حركة مستقلة في إشعار خصم مورد بمبلغ 100 وسجل الكود.
2. نفذ إلغاء تعديل على نفس الحركة؛ أكد فقط إذا كانت الحالة ليست إلغاء.
3. ابحث بالكود وأعد فتح التفاصيل إن بقيت الحركة.</t>
  </si>
  <si>
    <t>FM-057</t>
  </si>
  <si>
    <t>1. أنشئ حركة مستقلة في إشعار خصم مورد بمبلغ 100 وسجل الكود.
2. نفذ إلغاء حذف على نفس الحركة؛ أكد فقط إذا كانت الحالة ليست إلغاء.
3. ابحث بالكود وأعد فتح التفاصيل إن بقيت الحركة.</t>
  </si>
  <si>
    <t>FM-058</t>
  </si>
  <si>
    <t>1. جهز إشعار خصم مورد بمبلغ 100.
2. اضغط حفظ وطباعة وسجل الكود.
3. قارن كود وطرف ومبلغ تقرير الطباعة بالحركة المحفوظة.</t>
  </si>
  <si>
    <t>FM-059</t>
  </si>
  <si>
    <t>1. أنشئ حركة مستقلة في إشعار خصم مورد وابحث عنها.
2. صدّر PDF وافتح الملف.
3. راجع الكود والمبلغ 100 والطرف.</t>
  </si>
  <si>
    <t>FM-060</t>
  </si>
  <si>
    <t>1. أنشئ حركة مستقلة في إشعار خصم مورد وابحث عنها.
2. صدّر Excel وافتح الملف.
3. راجع الكود والمبلغ 100 والطرف.</t>
  </si>
  <si>
    <t>FM-061</t>
  </si>
  <si>
    <t>التحويلات والتسويات</t>
  </si>
  <si>
    <t>تحويل من خزينة إلى خزينة</t>
  </si>
  <si>
    <t>حساب مصدر من نوع خزينة وحساب وجهة مختلف من نوع خزينة؛ مبلغ 100؛ ملاحظات فريدة.</t>
  </si>
  <si>
    <t>1. سجل هوية ورصيد الحسابين قبل الحركة.
2. افتح تحويل جديداً واختر نوع وهوية المصدر ثم نوع وهوية الوجهة.
3. أدخل 100 واحفظ وأعد فتح نفس التحويل.
4. راجع طرفي التحويل والقيمة في المستند.</t>
  </si>
  <si>
    <t>تحفظ هوية الحسابين والقيمة 100 دون الخلط بين تشابه النوع وتشابه الحساب؛ اتجاه الأثر في كشف الحساب يراجع وفق تعريفه المحاسبي المعتمد.</t>
  </si>
  <si>
    <t>src/test/java/FinancialMovementsTest/TransfersAndSettlementsTest.java</t>
  </si>
  <si>
    <t>FM-062</t>
  </si>
  <si>
    <t>تحويل من خزينة إلى بنك</t>
  </si>
  <si>
    <t>حساب مصدر من نوع خزينة وحساب وجهة مختلف من نوع بنك؛ مبلغ 100؛ ملاحظات فريدة.</t>
  </si>
  <si>
    <t>FM-063</t>
  </si>
  <si>
    <t>تحويل من خزينة إلى عميل</t>
  </si>
  <si>
    <t>حساب مصدر من نوع خزينة وحساب وجهة مختلف من نوع عميل؛ مبلغ 100؛ ملاحظات فريدة.</t>
  </si>
  <si>
    <t>FM-064</t>
  </si>
  <si>
    <t>تحويل من خزينة إلى مورد</t>
  </si>
  <si>
    <t>حساب مصدر من نوع خزينة وحساب وجهة مختلف من نوع مورد؛ مبلغ 100؛ ملاحظات فريدة.</t>
  </si>
  <si>
    <t>FM-065</t>
  </si>
  <si>
    <t>تحويل من بنك إلى خزينة</t>
  </si>
  <si>
    <t>حساب مصدر من نوع بنك وحساب وجهة مختلف من نوع خزينة؛ مبلغ 100؛ ملاحظات فريدة.</t>
  </si>
  <si>
    <t>FM-066</t>
  </si>
  <si>
    <t>تحويل من بنك إلى بنك</t>
  </si>
  <si>
    <t>حساب مصدر من نوع بنك وحساب وجهة مختلف من نوع بنك؛ مبلغ 100؛ ملاحظات فريدة.</t>
  </si>
  <si>
    <t>FM-067</t>
  </si>
  <si>
    <t>تحويل من بنك إلى عميل</t>
  </si>
  <si>
    <t>حساب مصدر من نوع بنك وحساب وجهة مختلف من نوع عميل؛ مبلغ 100؛ ملاحظات فريدة.</t>
  </si>
  <si>
    <t>FM-068</t>
  </si>
  <si>
    <t>تحويل من بنك إلى مورد</t>
  </si>
  <si>
    <t>حساب مصدر من نوع بنك وحساب وجهة مختلف من نوع مورد؛ مبلغ 100؛ ملاحظات فريدة.</t>
  </si>
  <si>
    <t>FM-069</t>
  </si>
  <si>
    <t>تحويل من عميل إلى خزينة</t>
  </si>
  <si>
    <t>حساب مصدر من نوع عميل وحساب وجهة مختلف من نوع خزينة؛ مبلغ 100؛ ملاحظات فريدة.</t>
  </si>
  <si>
    <t>FM-070</t>
  </si>
  <si>
    <t>تحويل من عميل إلى بنك</t>
  </si>
  <si>
    <t>حساب مصدر من نوع عميل وحساب وجهة مختلف من نوع بنك؛ مبلغ 100؛ ملاحظات فريدة.</t>
  </si>
  <si>
    <t>FM-071</t>
  </si>
  <si>
    <t>تحويل من عميل إلى عميل</t>
  </si>
  <si>
    <t>حساب مصدر من نوع عميل وحساب وجهة مختلف من نوع عميل؛ مبلغ 100؛ ملاحظات فريدة.</t>
  </si>
  <si>
    <t>FM-072</t>
  </si>
  <si>
    <t>تحويل من عميل إلى مورد</t>
  </si>
  <si>
    <t>حساب مصدر من نوع عميل وحساب وجهة مختلف من نوع مورد؛ مبلغ 100؛ ملاحظات فريدة.</t>
  </si>
  <si>
    <t>FM-073</t>
  </si>
  <si>
    <t>تحويل من مورد إلى خزينة</t>
  </si>
  <si>
    <t>حساب مصدر من نوع مورد وحساب وجهة مختلف من نوع خزينة؛ مبلغ 100؛ ملاحظات فريدة.</t>
  </si>
  <si>
    <t>FM-074</t>
  </si>
  <si>
    <t>تحويل من مورد إلى بنك</t>
  </si>
  <si>
    <t>حساب مصدر من نوع مورد وحساب وجهة مختلف من نوع بنك؛ مبلغ 100؛ ملاحظات فريدة.</t>
  </si>
  <si>
    <t>FM-075</t>
  </si>
  <si>
    <t>تحويل من مورد إلى عميل</t>
  </si>
  <si>
    <t>حساب مصدر من نوع مورد وحساب وجهة مختلف من نوع عميل؛ مبلغ 100؛ ملاحظات فريدة.</t>
  </si>
  <si>
    <t>FM-076</t>
  </si>
  <si>
    <t>تحويل من مورد إلى مورد</t>
  </si>
  <si>
    <t>حساب مصدر من نوع مورد وحساب وجهة مختلف من نوع مورد؛ مبلغ 100؛ ملاحظات فريدة.</t>
  </si>
  <si>
    <t>FM-077</t>
  </si>
  <si>
    <t>رفض التحويل لنفس الحساب</t>
  </si>
  <si>
    <t>نفس هوية الحساب في المصدر والوجهة؛ مبلغ 100.</t>
  </si>
  <si>
    <t>1. اختر نفس الحساب الفعلي كمصدر ووجهة.
2. أدخل 100 وحاول الحفظ.
3. ابحث عن الحركة بالملاحظة الفريدة.</t>
  </si>
  <si>
    <t>يرفض الحفظ ولا تنشأ حركة. اختلاف الحسابين من نفس النوع مسموح ولا يخلط بهذه الحالة.</t>
  </si>
  <si>
    <t>حالات القيود اليومية</t>
  </si>
  <si>
    <t>JV-001</t>
  </si>
  <si>
    <t>قيد متوازن</t>
  </si>
  <si>
    <t>حسابان اختباريان مختلفان؛ مدين 100 في الأول ودائن 100 في الثاني؛ ملاحظات فريدة.</t>
  </si>
  <si>
    <t>1. افتح قيداً جديداً واختر الحسابين.
2. أدخل القيم المحددة في طرفي القيد وراجع الإجمالي والفرق.
3. حاول الحفظ وابحث بالملاحظة الفريدة ثم أعد فتح القيد إن أنشئ.</t>
  </si>
  <si>
    <t>يتساوى المدين والدائن عند 100 والفرق صفر؛ يحفظ القيد المسموح ويعاد فتحه بالقيم نفسها.</t>
  </si>
  <si>
    <t>src/test/java/GenralAccountantTest/VouchersTest.java</t>
  </si>
  <si>
    <t>بعض الاختبارات الحالية تثبت قبول التطبيق للسلوك المعيب؛ نجاح الأوتوميشن لا يعني صحة القيد محاسبياً.</t>
  </si>
  <si>
    <t>JV-002</t>
  </si>
  <si>
    <t>قيد غير متوازن</t>
  </si>
  <si>
    <t>حسابان اختباريان مختلفان؛ مدين 100 في الأول ودائن 90 في الثاني؛ ملاحظات فريدة.</t>
  </si>
  <si>
    <t>الفرق 10؛ يجب منع الحفظ وفق السياسة المحاسبية المعتمدة. إذا قبل النظام الحفظ وثق ذلك ولا تخلطه بنجاح اختبار رصد السلوك.</t>
  </si>
  <si>
    <t>JV-003</t>
  </si>
  <si>
    <t>قيد صفري</t>
  </si>
  <si>
    <t>حسابان اختباريان مختلفان؛ مدين 0 في الأول ودائن 0 في الثاني؛ ملاحظات فريدة.</t>
  </si>
  <si>
    <t>يرفض حفظ القيد الصفري وفق التوقع الموثق؛ قبول الحفظ عيب سابق يحتاج إعادة تنفيذ.</t>
  </si>
  <si>
    <t>JV-004</t>
  </si>
  <si>
    <t>قيد بقيم سالبة</t>
  </si>
  <si>
    <t>حسابان اختباريان مختلفان؛ مدين -100 في الأول ودائن -100 في الثاني؛ ملاحظات فريدة.</t>
  </si>
  <si>
    <t>يرفض القيم السالبة؛ لا يكفي تساوي الإجماليين لقبول قيد غير صالح.</t>
  </si>
  <si>
    <t>JV-005</t>
  </si>
  <si>
    <t>منع قيد فارغ</t>
  </si>
  <si>
    <t>لا حسابات ولا مبالغ.</t>
  </si>
  <si>
    <t>1. افتح قيداً جديداً.
2. اضغط حفظ ثم ابحث عن أي قيد جديد.</t>
  </si>
  <si>
    <t>يبقى النموذج دون قيد محفوظ؛ عدم ظهور رسالة تحقق وحده لا يثبت الحفظ.</t>
  </si>
  <si>
    <t>JV-006</t>
  </si>
  <si>
    <t>رفض مدين ودائن في نفس السطر</t>
  </si>
  <si>
    <t>حساب واحد؛ مدين 100 ودائن 100 في نفس السطر.</t>
  </si>
  <si>
    <t>1. أضف الحساب إلى القيد.
2. أدخل 100 في المدين والدائن لنفس السطر ثم احفظ.
3. راجع وجود القيد المحفوظ.</t>
  </si>
  <si>
    <t>يرفض الجمع بين طرفي المبلغ في السطر وفق التوقع الموثق؛ قبول الحفظ عيب سابق.</t>
  </si>
  <si>
    <t>JV-007</t>
  </si>
  <si>
    <t>حذف سطر مسودة يعيد الإجماليات</t>
  </si>
  <si>
    <t>سطران مدينان 60 و40؛ سطر دائن 100.</t>
  </si>
  <si>
    <t>1. أنشئ المسودة بالسطور الثلاثة.
2. احذف سطر المدين 40 دون حفظ.
3. راجع الإجماليات.</t>
  </si>
  <si>
    <t>يصبح المدين 60 والدائن 100 والفرق 40.</t>
  </si>
  <si>
    <t>JV-008</t>
  </si>
  <si>
    <t>البحث عن حساب واختياره</t>
  </si>
  <si>
    <t>حساب اختبار معروف الكود والاسم.</t>
  </si>
  <si>
    <t>1. افتح نافذة الحسابات في قيد جديد.
2. ابحث بالكود ثم الاسم واختر الحساب.
3. راجع هوية الحساب في سطر القيد.</t>
  </si>
  <si>
    <t>يضاف الحساب الصحيح ولا يضاف حساب آخر لمجرد تشابه الاسم.</t>
  </si>
  <si>
    <t>JV-009</t>
  </si>
  <si>
    <t>حفظ وطباعة وتعديل وحذف قيد اختباري</t>
  </si>
  <si>
    <t>مدين 100 ودائن 100؛ ملاحظات فريدة.</t>
  </si>
  <si>
    <t>1. أنشئ القيد واحفظ واطبع وسجل كوده.
2. قارن التقرير بالمبالغ ثم افتح القيد وعدل الملاحظات واحفظ.
3. أعد الفتح وتأكد من الملاحظات ثم احذف القيد الاختباري بالإجراء المسموح.</t>
  </si>
  <si>
    <t>تطابق الطباعة القيد؛ يحفظ التعديل بنفس الكود؛ يحذف السجل المقصود فقط.</t>
  </si>
  <si>
    <t>حالات تكامل مقترح</t>
  </si>
  <si>
    <t>EX-001</t>
  </si>
  <si>
    <t>سيناريوهات تحتاج اعتماد</t>
  </si>
  <si>
    <t>صلاحيات مستخدم محدود</t>
  </si>
  <si>
    <t>تحتاج تجهيز بيئة وصلاحيات وسياسة مكتوبة قبل التنفيذ.</t>
  </si>
  <si>
    <t>1. جهز حساباً محدوداً مع مصفوفة صلاحيات معتمدة.
2. سجل الدخول وحاول فتح وإنشاء وتعديل وحذف وتصدير شاشة ممنوعة.
3. حاول الوصول برابط مباشر من نفس الحساب.</t>
  </si>
  <si>
    <t>تطبق الصلاحيات المعتمدة من الخادم والواجهة؛ لا تعرض أو تغير بيانات غير مصرح بها.</t>
  </si>
  <si>
    <t>مقترح مراجعة مخاطر؛ لا توجد تغطية مؤكدة من ملفات المشروع</t>
  </si>
  <si>
    <t>تكامل وأمان</t>
  </si>
  <si>
    <t>EX-002</t>
  </si>
  <si>
    <t>منع الحفظ المكرر</t>
  </si>
  <si>
    <t>1. جهز فاتورة صحيحة في بيئة اختبار.
2. اضغط حفظ مرتين بسرعة في محاولة واحدة.
3. ابحث بالمرجع الفريد وراجع العدد والأرصدة.</t>
  </si>
  <si>
    <t>ينشأ مستند واحد وأثر مالي ومخزني واحد وفق العقد المطلوب.</t>
  </si>
  <si>
    <t>EX-003</t>
  </si>
  <si>
    <t>انقطاع الاتصال أثناء الحفظ</t>
  </si>
  <si>
    <t>1. جهز مستنداً وملاحظة فريدة وسجل الأرصدة.
2. حاكِ انقطاعاً مضبوطاً أثناء الحفظ في بيئة اختبار بالتنسيق مع المسؤول.
3. أعد الاتصال وابحث بالملاحظة قبل إعادة الحفظ.</t>
  </si>
  <si>
    <t>يمكن تحديد هل حفظ المستند أم لا؛ لا يكرر المستخدم الحركة بسبب غموض الاستجابة.</t>
  </si>
  <si>
    <t>EX-004</t>
  </si>
  <si>
    <t>عزل الفرع</t>
  </si>
  <si>
    <t>1. جهز سجلين مسموحين في فرعين منفصلين مع سياسة ظهور معتمدة.
2. انتقل بين الفرعين وابحث عن السجلين.
3. حاول إنشاء حركة بمرجع من فرع غير مسموح.</t>
  </si>
  <si>
    <t>النتائج والروابط توافق سياسة الفروع المعتمدة دون تسرب أو تغيير غير مصرح.</t>
  </si>
  <si>
    <t>سجل تعريفات اختبارات الأوتوميشن</t>
  </si>
  <si>
    <t>حصر تعريفات من المصدر وليس عدد استدعاءات أو نتائج تنفيذ؛ الوراثة والمعاملات والسويتات قد تغير العدد.</t>
  </si>
  <si>
    <t>الكلاس</t>
  </si>
  <si>
    <t>الدالة</t>
  </si>
  <si>
    <t>وصف المصدر</t>
  </si>
  <si>
    <t>التصنيف</t>
  </si>
  <si>
    <t>حالة التعريف</t>
  </si>
  <si>
    <t>المصدر والسطر</t>
  </si>
  <si>
    <t>حدود القراءة</t>
  </si>
  <si>
    <t>AgentTest</t>
  </si>
  <si>
    <t>AG_001_AgentListStructure</t>
  </si>
  <si>
    <t>AG-001 بنية قائمة المناديب وأوامر الصف</t>
  </si>
  <si>
    <t>واجهة أو سلوك وظيفي</t>
  </si>
  <si>
    <t>مفعلة</t>
  </si>
  <si>
    <t>src/test/java/DealerModelTest/AgentTest.java:12</t>
  </si>
  <si>
    <t>تعريف دالة؛ قد تورث أو تتكرر بمعاملات أو تكون خارج السويت الأساسية</t>
  </si>
  <si>
    <t>AG_002_CloseAgentFormWithoutSaving</t>
  </si>
  <si>
    <t>AG-002 إغلاق نموذج إضافة مندوب دون حفظ</t>
  </si>
  <si>
    <t>src/test/java/DealerModelTest/AgentTest.java:26</t>
  </si>
  <si>
    <t>AG_003_CancelAgentEditWithoutSaving</t>
  </si>
  <si>
    <t>AG-003 إلغاء تعديل المندوب دون حفظ</t>
  </si>
  <si>
    <t>src/test/java/DealerModelTest/AgentTest.java:39</t>
  </si>
  <si>
    <t>AG_004_CancelAgentDelete</t>
  </si>
  <si>
    <t>AG-004 إلغاء حذف مندوب</t>
  </si>
  <si>
    <t>src/test/java/DealerModelTest/AgentTest.java:52</t>
  </si>
  <si>
    <t>AG_005_OwnedAgentCreateEditDelete</t>
  </si>
  <si>
    <t>AG-005 دورة حياة مندوب مملوك للاختبار</t>
  </si>
  <si>
    <t>src/test/java/DealerModelTest/AgentTest.java:65</t>
  </si>
  <si>
    <t>AddAgentFDAtaFirstPAge</t>
  </si>
  <si>
    <t>إضافة مندوب - الصفحة الأولى</t>
  </si>
  <si>
    <t>src/test/java/DealerModelTest/AgentTest.java:93</t>
  </si>
  <si>
    <t>AddAgentFDAtaSecondPAgeForAgentCommission</t>
  </si>
  <si>
    <t>إضافة مندوب - تبويب العمولة</t>
  </si>
  <si>
    <t>src/test/java/DealerModelTest/AgentTest.java:131</t>
  </si>
  <si>
    <t>AddAgentThirdPageProductCommission</t>
  </si>
  <si>
    <t>إضافة مندوب - عمولة أصناف عن طريق الفئة</t>
  </si>
  <si>
    <t>src/test/java/DealerModelTest/AgentTest.java:160</t>
  </si>
  <si>
    <t>AddAgentByAllProducts</t>
  </si>
  <si>
    <t>إضافة مندوب - عمولة أصناف لكل الأصناف</t>
  </si>
  <si>
    <t>src/test/java/DealerModelTest/AgentTest.java:192</t>
  </si>
  <si>
    <t>AddAgentBySearchProduct</t>
  </si>
  <si>
    <t>إضافة مندوب - عمولة أصناف عن طريق البحث</t>
  </si>
  <si>
    <t>src/test/java/DealerModelTest/AgentTest.java:224</t>
  </si>
  <si>
    <t>AddAgentWithChoseItem</t>
  </si>
  <si>
    <t>إضافة مندوب - عمولة أصناف باختيار أصناف يدوياً</t>
  </si>
  <si>
    <t>src/test/java/DealerModelTest/AgentTest.java:259</t>
  </si>
  <si>
    <t>Delete</t>
  </si>
  <si>
    <t>حذف مندوب</t>
  </si>
  <si>
    <t>src/test/java/DealerModelTest/AgentTest.java:300</t>
  </si>
  <si>
    <t>AseertArabicNameRequired</t>
  </si>
  <si>
    <t>التحقق - الاسم العربي إلزامي</t>
  </si>
  <si>
    <t>src/test/java/DealerModelTest/AgentTest.java:306</t>
  </si>
  <si>
    <t>AseertAgentNaturalRequired</t>
  </si>
  <si>
    <t>التحقق - طبيعة المندوب إلزامية</t>
  </si>
  <si>
    <t>src/test/java/DealerModelTest/AgentTest.java:326</t>
  </si>
  <si>
    <t>AseertErrorMessageWhenAddTheSamePrecentge</t>
  </si>
  <si>
    <t>التحقق - خطأ عند تكرار نطاق العمولة</t>
  </si>
  <si>
    <t>src/test/java/DealerModelTest/AgentTest.java:346</t>
  </si>
  <si>
    <t>ExportAgentsToPdf</t>
  </si>
  <si>
    <t>تصدير قائمة المناديب إلى PDF</t>
  </si>
  <si>
    <t>src/test/java/DealerModelTest/AgentTest.java:378</t>
  </si>
  <si>
    <t>ExportAgentsToExcel</t>
  </si>
  <si>
    <t>تصدير قائمة المناديب إلى Excel</t>
  </si>
  <si>
    <t>src/test/java/DealerModelTest/AgentTest.java:392</t>
  </si>
  <si>
    <t>CustomerClassificationTest</t>
  </si>
  <si>
    <t>CC_001_ClassificationListStructure</t>
  </si>
  <si>
    <t>CC-001 بنية قائمة تصنيفات المتعاملين وأوامر الصف</t>
  </si>
  <si>
    <t>src/test/java/DealerModelTest/CustomerClassificationTest.java:11</t>
  </si>
  <si>
    <t>CC_002_CloseClassificationFormWithoutSaving</t>
  </si>
  <si>
    <t>CC-002 إغلاق نموذج إضافة تصنيف دون حفظ</t>
  </si>
  <si>
    <t>src/test/java/DealerModelTest/CustomerClassificationTest.java:25</t>
  </si>
  <si>
    <t>CC_003_CancelClassificationEditWithoutSaving</t>
  </si>
  <si>
    <t>CC-003 إلغاء تعديل التصنيف دون حفظ</t>
  </si>
  <si>
    <t>src/test/java/DealerModelTest/CustomerClassificationTest.java:38</t>
  </si>
  <si>
    <t>CC_004_CancelClassificationDelete</t>
  </si>
  <si>
    <t>CC-004 إلغاء حذف تصنيف</t>
  </si>
  <si>
    <t>src/test/java/DealerModelTest/CustomerClassificationTest.java:51</t>
  </si>
  <si>
    <t>CC_005_OwnedClassificationCreateEditDelete</t>
  </si>
  <si>
    <t>CC-005 دورة حياة تصنيف مملوك للاختبار</t>
  </si>
  <si>
    <t>src/test/java/DealerModelTest/CustomerClassificationTest.java:64</t>
  </si>
  <si>
    <t>AddCustomerClassification</t>
  </si>
  <si>
    <t>إضافة تصنيف عميل</t>
  </si>
  <si>
    <t>src/test/java/DealerModelTest/CustomerClassificationTest.java:91</t>
  </si>
  <si>
    <t>AddSupplierClassification</t>
  </si>
  <si>
    <t>إضافة تصنيف مورد</t>
  </si>
  <si>
    <t>src/test/java/DealerModelTest/CustomerClassificationTest.java:116</t>
  </si>
  <si>
    <t>AddAgentClassification</t>
  </si>
  <si>
    <t>إضافة تصنيف مندوب</t>
  </si>
  <si>
    <t>src/test/java/DealerModelTest/CustomerClassificationTest.java:141</t>
  </si>
  <si>
    <t>Edit</t>
  </si>
  <si>
    <t>تعديل تصنيف</t>
  </si>
  <si>
    <t>src/test/java/DealerModelTest/CustomerClassificationTest.java:165</t>
  </si>
  <si>
    <t>حذف تصنيف</t>
  </si>
  <si>
    <t>src/test/java/DealerModelTest/CustomerClassificationTest.java:198</t>
  </si>
  <si>
    <t>AssertMessageArabicName</t>
  </si>
  <si>
    <t>src/test/java/DealerModelTest/CustomerClassificationTest.java:204</t>
  </si>
  <si>
    <t>AssertMessageClassification</t>
  </si>
  <si>
    <t>التحقق - نوع التصنيف إلزامي</t>
  </si>
  <si>
    <t>src/test/java/DealerModelTest/CustomerClassificationTest.java:225</t>
  </si>
  <si>
    <t>ExportClassificationsToPdf</t>
  </si>
  <si>
    <t>تصدير قائمة التصنيفات إلى PDF</t>
  </si>
  <si>
    <t>src/test/java/DealerModelTest/CustomerClassificationTest.java:246</t>
  </si>
  <si>
    <t>ExportClassificationsToExcel</t>
  </si>
  <si>
    <t>تصدير قائمة التصنيفات إلى Excel</t>
  </si>
  <si>
    <t>src/test/java/DealerModelTest/CustomerClassificationTest.java:259</t>
  </si>
  <si>
    <t>CustomersTest</t>
  </si>
  <si>
    <t>CU_001_CustomerListStructure</t>
  </si>
  <si>
    <t>CU-001 بنية قائمة العملاء وأوامر الصف</t>
  </si>
  <si>
    <t>src/test/java/DealerModelTest/CustomersTest.java:12</t>
  </si>
  <si>
    <t>CU_002_CloseCustomerFormWithoutSaving</t>
  </si>
  <si>
    <t>CU-002 إغلاق نموذج إضافة عميل دون حفظ</t>
  </si>
  <si>
    <t>src/test/java/DealerModelTest/CustomersTest.java:26</t>
  </si>
  <si>
    <t>CU_003_CancelCustomerEditWithoutSaving</t>
  </si>
  <si>
    <t>CU-003 إلغاء تعديل العميل دون حفظ</t>
  </si>
  <si>
    <t>src/test/java/DealerModelTest/CustomersTest.java:39</t>
  </si>
  <si>
    <t>CU_004_CancelCustomerDelete</t>
  </si>
  <si>
    <t>CU-004 إلغاء حذف عميل</t>
  </si>
  <si>
    <t>src/test/java/DealerModelTest/CustomersTest.java:52</t>
  </si>
  <si>
    <t>CU_005_OwnedCustomerCreateEditDelete</t>
  </si>
  <si>
    <t>CU-005 دورة حياة عميل مملوك للاختبار</t>
  </si>
  <si>
    <t>src/test/java/DealerModelTest/CustomersTest.java:65</t>
  </si>
  <si>
    <t>AddCustomerFirstPage</t>
  </si>
  <si>
    <t>إضافة عميل - الصفحة الأولى</t>
  </si>
  <si>
    <t>src/test/java/DealerModelTest/CustomersTest.java:91</t>
  </si>
  <si>
    <t>AddCustomerSecondPage</t>
  </si>
  <si>
    <t>إضافة عميل - بيانات الاتصال</t>
  </si>
  <si>
    <t>src/test/java/DealerModelTest/CustomersTest.java:136</t>
  </si>
  <si>
    <t>AddCustomerThirdPage</t>
  </si>
  <si>
    <t>إضافة عميل - بيانات الربط مع الهيئة</t>
  </si>
  <si>
    <t>src/test/java/DealerModelTest/CustomersTest.java:177</t>
  </si>
  <si>
    <t>AddCustomerFourthPage</t>
  </si>
  <si>
    <t>إضافة عميل - تبويب التحكم</t>
  </si>
  <si>
    <t>src/test/java/DealerModelTest/CustomersTest.java:218</t>
  </si>
  <si>
    <t>تعديل عميل</t>
  </si>
  <si>
    <t>src/test/java/DealerModelTest/CustomersTest.java:258</t>
  </si>
  <si>
    <t>حذف عميل</t>
  </si>
  <si>
    <t>src/test/java/DealerModelTest/CustomersTest.java:358</t>
  </si>
  <si>
    <t>SaveWithOutArabicName</t>
  </si>
  <si>
    <t>src/test/java/DealerModelTest/CustomersTest.java:364</t>
  </si>
  <si>
    <t>EnterWrongEmail</t>
  </si>
  <si>
    <t>التحقق - البريد الإلكتروني غير صحيح</t>
  </si>
  <si>
    <t>src/test/java/DealerModelTest/CustomersTest.java:391</t>
  </si>
  <si>
    <t>EnterWrongBankNumber</t>
  </si>
  <si>
    <t>التحقق - رقم الحساب البنكي يحتوي على حروف</t>
  </si>
  <si>
    <t>src/test/java/DealerModelTest/CustomersTest.java:418</t>
  </si>
  <si>
    <t>AssertErrorMessagesInDataTax</t>
  </si>
  <si>
    <t>التحقق - الرقم الضريبي إلزامي عند تفعيل عميل شركة</t>
  </si>
  <si>
    <t>src/test/java/DealerModelTest/CustomersTest.java:444</t>
  </si>
  <si>
    <t>AssertTaxNumberStartNumber3andEndStareNumber3</t>
  </si>
  <si>
    <t>التحقق - الرقم الضريبي يجب أن يبدأ وينتهي بـ 3</t>
  </si>
  <si>
    <t>src/test/java/DealerModelTest/CustomersTest.java:471</t>
  </si>
  <si>
    <t>AssertBuildingNumber</t>
  </si>
  <si>
    <t>التحقق - رقم المبنى يجب أن يكون 4 أرقام على الأقل</t>
  </si>
  <si>
    <t>src/test/java/DealerModelTest/CustomersTest.java:511</t>
  </si>
  <si>
    <t>AssertPostNumberInclode5number</t>
  </si>
  <si>
    <t>التحقق - الرمز البريدي يجب أن يكون 5 أرقام</t>
  </si>
  <si>
    <t>src/test/java/DealerModelTest/CustomersTest.java:547</t>
  </si>
  <si>
    <t>AssertAdress</t>
  </si>
  <si>
    <t>التحقق - العنوان إلزامي</t>
  </si>
  <si>
    <t>src/test/java/DealerModelTest/CustomersTest.java:583</t>
  </si>
  <si>
    <t>AsserShowErrorPopUpPhoneNumberDubelicateAndClickYes</t>
  </si>
  <si>
    <t>التحقق - تنبيه رقم الهاتف المكرر والضغط على نعم</t>
  </si>
  <si>
    <t>src/test/java/DealerModelTest/CustomersTest.java:622</t>
  </si>
  <si>
    <t>AsserShowErrorPopUpPhoneNumberDubelicateAndClickCansel</t>
  </si>
  <si>
    <t>التحقق - تنبيه رقم الهاتف المكرر والضغط على إلغاء</t>
  </si>
  <si>
    <t>src/test/java/DealerModelTest/CustomersTest.java:651</t>
  </si>
  <si>
    <t>ExportCustomersToPdf</t>
  </si>
  <si>
    <t>تصدير قائمة العملاء إلى PDF</t>
  </si>
  <si>
    <t>src/test/java/DealerModelTest/CustomersTest.java:681</t>
  </si>
  <si>
    <t>ExportCustomersToExcel</t>
  </si>
  <si>
    <t>تصدير قائمة العملاء إلى Excel</t>
  </si>
  <si>
    <t>src/test/java/DealerModelTest/CustomersTest.java:695</t>
  </si>
  <si>
    <t>DealerCleanupTest</t>
  </si>
  <si>
    <t>retriesUncommittedDeleteBeforeParentAccounts</t>
  </si>
  <si>
    <t>راجع اسم الدالة ومصدرها؛ لا يوجد وصف عربي ملازم</t>
  </si>
  <si>
    <t>تقني أو حسابي أو فحص تجهيز</t>
  </si>
  <si>
    <t>src/test/java/DealerModelTest/DealerCleanupTest.java:86</t>
  </si>
  <si>
    <t>doesNotDeleteAgainWhenTimedOutRequestAlreadyCommitted</t>
  </si>
  <si>
    <t>src/test/java/DealerModelTest/DealerCleanupTest.java:97</t>
  </si>
  <si>
    <t>acceptsEmptyStringReadAfterCommittedDeleteTimeout</t>
  </si>
  <si>
    <t>src/test/java/DealerModelTest/DealerCleanupTest.java:106</t>
  </si>
  <si>
    <t>retainsBlockedParentsAndRetriesOnlyItsOwnRecords</t>
  </si>
  <si>
    <t>src/test/java/DealerModelTest/DealerCleanupTest.java:116</t>
  </si>
  <si>
    <t>pageScopeSharesOnlyStableReferences</t>
  </si>
  <si>
    <t>src/test/java/DealerModelTest/DealerCleanupTest.java:129</t>
  </si>
  <si>
    <t>interruptedPageCleanupResumesOnlyRemainingOwnedRecords</t>
  </si>
  <si>
    <t>src/test/java/DealerModelTest/DealerCleanupTest.java:135</t>
  </si>
  <si>
    <t>resumesUncertainCreateBeforeDeletingItsDependencies</t>
  </si>
  <si>
    <t>src/test/java/DealerModelTest/DealerCleanupTest.java:144</t>
  </si>
  <si>
    <t>refusesRecoveryInAnotherBranch</t>
  </si>
  <si>
    <t>src/test/java/DealerModelTest/DealerCleanupTest.java:151</t>
  </si>
  <si>
    <t>actualCallbacksKeepCasesUntilPageEndEvenAfterFailure</t>
  </si>
  <si>
    <t>src/test/java/DealerModelTest/DealerCleanupTest.java:158</t>
  </si>
  <si>
    <t>cleanupFindsOwnedDealerBeyondFirstListPage</t>
  </si>
  <si>
    <t>src/test/java/DealerModelTest/DealerCleanupTest.java:169</t>
  </si>
  <si>
    <t>ambiguousDealerNameStopsCleanup</t>
  </si>
  <si>
    <t>src/test/java/DealerModelTest/DealerCleanupTest.java:177</t>
  </si>
  <si>
    <t>DealerTestDataTest</t>
  </si>
  <si>
    <t>createLinkedFixturesInCurrentTenant</t>
  </si>
  <si>
    <t>src/test/java/DealerModelTest/DealerTestDataTest.java:8</t>
  </si>
  <si>
    <t>MainDealerTest</t>
  </si>
  <si>
    <t>MD_001_ListStructure</t>
  </si>
  <si>
    <t>MD-001 بنية قائمة المتعامل الرئيسي</t>
  </si>
  <si>
    <t>src/test/java/DealerModelTest/MainDealerTest.java:48</t>
  </si>
  <si>
    <t>MD_002_FormControls</t>
  </si>
  <si>
    <t>MD-002 عناصر نموذج المتعامل الرئيسي</t>
  </si>
  <si>
    <t>src/test/java/DealerModelTest/MainDealerTest.java:59</t>
  </si>
  <si>
    <t>MD_009_CloseCreationFormWithoutSaving</t>
  </si>
  <si>
    <t>MD-009 إغلاق نموذج إضافة متعامل دون حفظ</t>
  </si>
  <si>
    <t>src/test/java/DealerModelTest/MainDealerTest.java:72</t>
  </si>
  <si>
    <t>MD_010_CancelEditWithoutSaving</t>
  </si>
  <si>
    <t>MD-010 إلغاء تعديل المتعامل دون حفظ</t>
  </si>
  <si>
    <t>src/test/java/DealerModelTest/MainDealerTest.java:84</t>
  </si>
  <si>
    <t>MD_011_CancelDelete</t>
  </si>
  <si>
    <t>MD-011 إلغاء حذف المتعامل الرئيسي</t>
  </si>
  <si>
    <t>src/test/java/DealerModelTest/MainDealerTest.java:95</t>
  </si>
  <si>
    <t>MD_003_ArabicNameRequired</t>
  </si>
  <si>
    <t>MD-003 الاسم العربي مطلوب</t>
  </si>
  <si>
    <t>src/test/java/DealerModelTest/MainDealerTest.java:106</t>
  </si>
  <si>
    <t>MD_004_KindRequired</t>
  </si>
  <si>
    <t>MD-004 نوع المتعامل مطلوب</t>
  </si>
  <si>
    <t>src/test/java/DealerModelTest/MainDealerTest.java:121</t>
  </si>
  <si>
    <t>MD_005_CreateCustomer</t>
  </si>
  <si>
    <t>MD-005 إضافة متعامل رئيسي من نوع عميل</t>
  </si>
  <si>
    <t>src/test/java/DealerModelTest/MainDealerTest.java:136</t>
  </si>
  <si>
    <t>MD_006_CreateSupplier</t>
  </si>
  <si>
    <t>MD-006 إضافة متعامل رئيسي من نوع مورد</t>
  </si>
  <si>
    <t>src/test/java/DealerModelTest/MainDealerTest.java:157</t>
  </si>
  <si>
    <t>MD_007_EditOwnedRecord</t>
  </si>
  <si>
    <t>MD-007 تعديل متعامل مملوك للاختبار</t>
  </si>
  <si>
    <t>src/test/java/DealerModelTest/MainDealerTest.java:176</t>
  </si>
  <si>
    <t>MD_008_DeleteOwnedRecord</t>
  </si>
  <si>
    <t>MD-008 حذف متعامل مملوك للاختبار</t>
  </si>
  <si>
    <t>src/test/java/DealerModelTest/MainDealerTest.java:199</t>
  </si>
  <si>
    <t>MD_090_ExportPdf</t>
  </si>
  <si>
    <t>MD-090 تصدير PDF</t>
  </si>
  <si>
    <t>src/test/java/DealerModelTest/MainDealerTest.java:223</t>
  </si>
  <si>
    <t>MD_091_ExportExcel</t>
  </si>
  <si>
    <t>MD-091 تصدير Excel</t>
  </si>
  <si>
    <t>src/test/java/DealerModelTest/MainDealerTest.java:235</t>
  </si>
  <si>
    <t>RoutLineTest</t>
  </si>
  <si>
    <t>AddRoutLine</t>
  </si>
  <si>
    <t>إضافة خط سير وربط المندوب بالأحداث اليومية</t>
  </si>
  <si>
    <t>src/test/java/DealerModelTest/RoutLineTest.java:26</t>
  </si>
  <si>
    <t>SupplierTest</t>
  </si>
  <si>
    <t>SU_001_SupplierListStructure</t>
  </si>
  <si>
    <t>SU-001 بنية قائمة الموردين وأوامر الصف</t>
  </si>
  <si>
    <t>src/test/java/DealerModelTest/SupplierTest.java:12</t>
  </si>
  <si>
    <t>SU_002_CloseSupplierFormWithoutSaving</t>
  </si>
  <si>
    <t>SU-002 إغلاق نموذج إضافة مورد دون حفظ</t>
  </si>
  <si>
    <t>src/test/java/DealerModelTest/SupplierTest.java:26</t>
  </si>
  <si>
    <t>SU_003_CancelSupplierEditWithoutSaving</t>
  </si>
  <si>
    <t>SU-003 إلغاء تعديل المورد دون حفظ</t>
  </si>
  <si>
    <t>src/test/java/DealerModelTest/SupplierTest.java:39</t>
  </si>
  <si>
    <t>SU_004_CancelSupplierDelete</t>
  </si>
  <si>
    <t>SU-004 إلغاء حذف مورد</t>
  </si>
  <si>
    <t>src/test/java/DealerModelTest/SupplierTest.java:52</t>
  </si>
  <si>
    <t>SU_005_OwnedSupplierCreateEditDelete</t>
  </si>
  <si>
    <t>SU-005 دورة حياة مورد مملوك للاختبار</t>
  </si>
  <si>
    <t>src/test/java/DealerModelTest/SupplierTest.java:65</t>
  </si>
  <si>
    <t>AddSupplierFirstPage</t>
  </si>
  <si>
    <t>إضافة مورد - الصفحة الأولى</t>
  </si>
  <si>
    <t>src/test/java/DealerModelTest/SupplierTest.java:91</t>
  </si>
  <si>
    <t>AddSupplierSecondPage</t>
  </si>
  <si>
    <t>إضافة مورد - بيانات الاتصال والضريبة</t>
  </si>
  <si>
    <t>src/test/java/DealerModelTest/SupplierTest.java:135</t>
  </si>
  <si>
    <t>AddSupplierSupplierControlTab</t>
  </si>
  <si>
    <t>إضافة مورد - تبويب التحكم</t>
  </si>
  <si>
    <t>src/test/java/DealerModelTest/SupplierTest.java:182</t>
  </si>
  <si>
    <t>تعديل مورد</t>
  </si>
  <si>
    <t>src/test/java/DealerModelTest/SupplierTest.java:217</t>
  </si>
  <si>
    <t>حذف مورد</t>
  </si>
  <si>
    <t>src/test/java/DealerModelTest/SupplierTest.java:302</t>
  </si>
  <si>
    <t>AddSupplierWithOutArabicName</t>
  </si>
  <si>
    <t>src/test/java/DealerModelTest/SupplierTest.java:308</t>
  </si>
  <si>
    <t>ExportSuppliersToPdf</t>
  </si>
  <si>
    <t>تصدير قائمة الموردين إلى PDF</t>
  </si>
  <si>
    <t>src/test/java/DealerModelTest/SupplierTest.java:331</t>
  </si>
  <si>
    <t>ExportSuppliersToExcel</t>
  </si>
  <si>
    <t>تصدير قائمة الموردين إلى Excel</t>
  </si>
  <si>
    <t>src/test/java/DealerModelTest/SupplierTest.java:345</t>
  </si>
  <si>
    <t>CustomerDiscountNoticeTest</t>
  </si>
  <si>
    <t>AddCustomerDiscountNoticeAnd_VerifyCalculationsAndReport</t>
  </si>
  <si>
    <t>إضافة إشعار خصم عميل</t>
  </si>
  <si>
    <t>src/test/java/FinancialMovementsTest/CustomerDiscountNoticeTest.java:12</t>
  </si>
  <si>
    <t>EditCustomerDiscountNoticeAnd_VerifyCalculationsAndReport</t>
  </si>
  <si>
    <t>تعديل إشعار خصم عميل</t>
  </si>
  <si>
    <t>src/test/java/FinancialMovementsTest/CustomerDiscountNoticeTest.java:15</t>
  </si>
  <si>
    <t>AddCustomerDiscountNoticeAnd_VerifyCalculationsAndCustom</t>
  </si>
  <si>
    <t>إضافة إشعار خصم عميل مع سند مخصص</t>
  </si>
  <si>
    <t>src/test/java/FinancialMovementsTest/CustomerDiscountNoticeTest.java:18</t>
  </si>
  <si>
    <t>AddCustomerDiscountNoticeAnd_VerifyCalculationsAndSave</t>
  </si>
  <si>
    <t>src/test/java/FinancialMovementsTest/CustomerDiscountNoticeTest.java:21</t>
  </si>
  <si>
    <t>حذف إشعار خصم عميل</t>
  </si>
  <si>
    <t>src/test/java/FinancialMovementsTest/CustomerDiscountNoticeTest.java:24</t>
  </si>
  <si>
    <t>InvalidDate</t>
  </si>
  <si>
    <t>التحقق - إضافة إشعار خصم عميل بتاريخ غير صالح</t>
  </si>
  <si>
    <t>src/test/java/FinancialMovementsTest/CustomerDiscountNoticeTest.java:27</t>
  </si>
  <si>
    <t>InvalidAgentName</t>
  </si>
  <si>
    <t>التحقق - إضافة إشعار خصم عميل باسم مندوب غير صالح</t>
  </si>
  <si>
    <t>src/test/java/FinancialMovementsTest/CustomerDiscountNoticeTest.java:30</t>
  </si>
  <si>
    <t>InvalidValue</t>
  </si>
  <si>
    <t>التحقق - إضافة إشعار خصم عميل بقيمة غير صالحة</t>
  </si>
  <si>
    <t>src/test/java/FinancialMovementsTest/CustomerDiscountNoticeTest.java:33</t>
  </si>
  <si>
    <t>FM_CloseNewWithoutSaving</t>
  </si>
  <si>
    <t>src/test/java/FinancialMovementsTest/CustomerDiscountNoticeTest.java:36</t>
  </si>
  <si>
    <t>FM_CancelEditWithoutSaving</t>
  </si>
  <si>
    <t>src/test/java/FinancialMovementsTest/CustomerDiscountNoticeTest.java:37</t>
  </si>
  <si>
    <t>FM_CancelDelete</t>
  </si>
  <si>
    <t>src/test/java/FinancialMovementsTest/CustomerDiscountNoticeTest.java:38</t>
  </si>
  <si>
    <t>FM_RejectNegativeAmount</t>
  </si>
  <si>
    <t>src/test/java/FinancialMovementsTest/CustomerDiscountNoticeTest.java:39</t>
  </si>
  <si>
    <t>FM_RejectZeroAmount</t>
  </si>
  <si>
    <t>src/test/java/FinancialMovementsTest/CustomerDiscountNoticeTest.java:40</t>
  </si>
  <si>
    <t>FM_ListStructure</t>
  </si>
  <si>
    <t>src/test/java/FinancialMovementsTest/CustomerDiscountNoticeTest.java:41</t>
  </si>
  <si>
    <t>FM_ExportPdf</t>
  </si>
  <si>
    <t>src/test/java/FinancialMovementsTest/CustomerDiscountNoticeTest.java:42</t>
  </si>
  <si>
    <t>FM_ExportExcel</t>
  </si>
  <si>
    <t>src/test/java/FinancialMovementsTest/CustomerDiscountNoticeTest.java:43</t>
  </si>
  <si>
    <t>CustomerReceiptTest</t>
  </si>
  <si>
    <t>AddCustomerWithSaveAndCustomerReceiptTest</t>
  </si>
  <si>
    <t>إضافة سند قبض عميل مع توزيع على الفواتير</t>
  </si>
  <si>
    <t>src/test/java/FinancialMovementsTest/CustomerReceiptTest.java:12</t>
  </si>
  <si>
    <t>AddResetWithSaveTest</t>
  </si>
  <si>
    <t>إضافة سند قبض عميل بالحفظ فقط</t>
  </si>
  <si>
    <t>src/test/java/FinancialMovementsTest/CustomerReceiptTest.java:15</t>
  </si>
  <si>
    <t>AddNewResetWithSaveAndPrint</t>
  </si>
  <si>
    <t>إضافة سند قبض عميل مع الحفظ والطباعة والتحقق من التقرير</t>
  </si>
  <si>
    <t>src/test/java/FinancialMovementsTest/CustomerReceiptTest.java:18</t>
  </si>
  <si>
    <t>EditeAfterReportTest</t>
  </si>
  <si>
    <t>تعديل سند قبض عميل مع الحفظ والطباعة والتحقق من التقرير</t>
  </si>
  <si>
    <t>src/test/java/FinancialMovementsTest/CustomerReceiptTest.java:21</t>
  </si>
  <si>
    <t>DeleteCustomerReceiptTest</t>
  </si>
  <si>
    <t>حذف سند قبض عميل</t>
  </si>
  <si>
    <t>src/test/java/FinancialMovementsTest/CustomerReceiptTest.java:24</t>
  </si>
  <si>
    <t>AssertRequiredErrorsMessageForAgent</t>
  </si>
  <si>
    <t>التحقق - العميل إلزامي في سند القبض</t>
  </si>
  <si>
    <t>src/test/java/FinancialMovementsTest/CustomerReceiptTest.java:27</t>
  </si>
  <si>
    <t>AssertRequiredErrorsMessageForAmount</t>
  </si>
  <si>
    <t>التحقق - المبلغ وطريقة الدفع إلزاميان في سند القبض</t>
  </si>
  <si>
    <t>src/test/java/FinancialMovementsTest/CustomerReceiptTest.java:30</t>
  </si>
  <si>
    <t>AssertRequiredErrorsMessageForPaymentMethod</t>
  </si>
  <si>
    <t>التحقق - طريقة الدفع إلزامية في سند القبض</t>
  </si>
  <si>
    <t>src/test/java/FinancialMovementsTest/CustomerReceiptTest.java:33</t>
  </si>
  <si>
    <t>AssertRequiredErrorsMessageForPaymentMethodOption</t>
  </si>
  <si>
    <t>التحقق - خيار طريقة الدفع إلزامي في سند القبض</t>
  </si>
  <si>
    <t>src/test/java/FinancialMovementsTest/CustomerReceiptTest.java:36</t>
  </si>
  <si>
    <t>AddOldDate</t>
  </si>
  <si>
    <t>التحقق - خطأ عند إدخال تاريخ قديم في سند القبض</t>
  </si>
  <si>
    <t>src/test/java/FinancialMovementsTest/CustomerReceiptTest.java:39</t>
  </si>
  <si>
    <t>src/test/java/FinancialMovementsTest/CustomerReceiptTest.java:42</t>
  </si>
  <si>
    <t>src/test/java/FinancialMovementsTest/CustomerReceiptTest.java:43</t>
  </si>
  <si>
    <t>src/test/java/FinancialMovementsTest/CustomerReceiptTest.java:44</t>
  </si>
  <si>
    <t>src/test/java/FinancialMovementsTest/CustomerReceiptTest.java:45</t>
  </si>
  <si>
    <t>src/test/java/FinancialMovementsTest/CustomerReceiptTest.java:46</t>
  </si>
  <si>
    <t>src/test/java/FinancialMovementsTest/CustomerReceiptTest.java:47</t>
  </si>
  <si>
    <t>src/test/java/FinancialMovementsTest/CustomerReceiptTest.java:48</t>
  </si>
  <si>
    <t>src/test/java/FinancialMovementsTest/CustomerReceiptTest.java:49</t>
  </si>
  <si>
    <t>ExpenseMovementTest</t>
  </si>
  <si>
    <t>AddExpenseMovementWithSelectTax_AssertValue</t>
  </si>
  <si>
    <t>إضافة حركة مصروف مع الضريبة والحفظ والطباعة والتحقق من الحسابات</t>
  </si>
  <si>
    <t>src/test/java/FinancialMovementsTest/ExpenseMovementTest.java:12</t>
  </si>
  <si>
    <t>EditExpenseMovementWithSelectTax_AssertValue</t>
  </si>
  <si>
    <t>تعديل حركة مصروف مع الضريبة والحفظ والطباعة والتحقق من الحسابات</t>
  </si>
  <si>
    <t>src/test/java/FinancialMovementsTest/ExpenseMovementTest.java:15</t>
  </si>
  <si>
    <t>AddExpenseMovementWithSelectAccountantAndClickSave</t>
  </si>
  <si>
    <t>إضافة حركة مصروف بنوع حساب محاسبي والحفظ</t>
  </si>
  <si>
    <t>src/test/java/FinancialMovementsTest/ExpenseMovementTest.java:18</t>
  </si>
  <si>
    <t>AddExpenseMovementWithSelectExpenseAndClickSave</t>
  </si>
  <si>
    <t>إضافة حركة مصروف بنوع مصروف والحفظ</t>
  </si>
  <si>
    <t>src/test/java/FinancialMovementsTest/ExpenseMovementTest.java:21</t>
  </si>
  <si>
    <t>DeleteExpenseMovement</t>
  </si>
  <si>
    <t>حذف حركة مصروف</t>
  </si>
  <si>
    <t>src/test/java/FinancialMovementsTest/ExpenseMovementTest.java:24</t>
  </si>
  <si>
    <t>AssertTypeExpenseErrorMessage</t>
  </si>
  <si>
    <t>التحقق - نوع المصروف إلزامي</t>
  </si>
  <si>
    <t>src/test/java/FinancialMovementsTest/ExpenseMovementTest.java:27</t>
  </si>
  <si>
    <t>AssertPaymentMethodErrorMessage</t>
  </si>
  <si>
    <t>التحقق - طريقة الدفع إلزامية في حركة المصروف</t>
  </si>
  <si>
    <t>src/test/java/FinancialMovementsTest/ExpenseMovementTest.java:30</t>
  </si>
  <si>
    <t>AssertPaymentOptionMethodErrorMessage</t>
  </si>
  <si>
    <t>التحقق - خيار طريقة الدفع إلزامي في حركة المصروف</t>
  </si>
  <si>
    <t>src/test/java/FinancialMovementsTest/ExpenseMovementTest.java:33</t>
  </si>
  <si>
    <t>AssertValueErrorMessage</t>
  </si>
  <si>
    <t>التحقق - المبلغ إلزامي في حركة المصروف</t>
  </si>
  <si>
    <t>src/test/java/FinancialMovementsTest/ExpenseMovementTest.java:36</t>
  </si>
  <si>
    <t>src/test/java/FinancialMovementsTest/ExpenseMovementTest.java:39</t>
  </si>
  <si>
    <t>src/test/java/FinancialMovementsTest/ExpenseMovementTest.java:40</t>
  </si>
  <si>
    <t>src/test/java/FinancialMovementsTest/ExpenseMovementTest.java:41</t>
  </si>
  <si>
    <t>src/test/java/FinancialMovementsTest/ExpenseMovementTest.java:42</t>
  </si>
  <si>
    <t>src/test/java/FinancialMovementsTest/ExpenseMovementTest.java:43</t>
  </si>
  <si>
    <t>src/test/java/FinancialMovementsTest/ExpenseMovementTest.java:44</t>
  </si>
  <si>
    <t>src/test/java/FinancialMovementsTest/ExpenseMovementTest.java:45</t>
  </si>
  <si>
    <t>src/test/java/FinancialMovementsTest/ExpenseMovementTest.java:46</t>
  </si>
  <si>
    <t>FinancialCleanupTest</t>
  </si>
  <si>
    <t>acceptsMissingDeleteOnlyAfterReadConfirmsAbsence</t>
  </si>
  <si>
    <t>src/test/java/FinancialMovementsTest/FinancialCleanupTest.java:95</t>
  </si>
  <si>
    <t>src/test/java/FinancialMovementsTest/FinancialCleanupTest.java:102</t>
  </si>
  <si>
    <t>src/test/java/FinancialMovementsTest/FinancialCleanupTest.java:113</t>
  </si>
  <si>
    <t>src/test/java/FinancialMovementsTest/FinancialCleanupTest.java:122</t>
  </si>
  <si>
    <t>src/test/java/FinancialMovementsTest/FinancialCleanupTest.java:132</t>
  </si>
  <si>
    <t>cleansOwnedItemCommittedBeforeCreateFailure</t>
  </si>
  <si>
    <t>src/test/java/FinancialMovementsTest/FinancialCleanupTest.java:144</t>
  </si>
  <si>
    <t>acceptsVerifiedMissingTransactionDefaultDto</t>
  </si>
  <si>
    <t>src/test/java/FinancialMovementsTest/FinancialCleanupTest.java:156</t>
  </si>
  <si>
    <t>acceptsVerifiedMissingMasterDefaultDto</t>
  </si>
  <si>
    <t>src/test/java/FinancialMovementsTest/FinancialCleanupTest.java:163</t>
  </si>
  <si>
    <t>updatedMovementDeletesBeforeItsNewReference</t>
  </si>
  <si>
    <t>src/test/java/FinancialMovementsTest/FinancialCleanupTest.java:170</t>
  </si>
  <si>
    <t>confirmsCustomerAbsenceWithoutHidingExistingRecordErrors</t>
  </si>
  <si>
    <t>src/test/java/FinancialMovementsTest/FinancialCleanupTest.java:182</t>
  </si>
  <si>
    <t>src/test/java/FinancialMovementsTest/FinancialCleanupTest.java:190</t>
  </si>
  <si>
    <t>src/test/java/FinancialMovementsTest/FinancialCleanupTest.java:196</t>
  </si>
  <si>
    <t>src/test/java/FinancialMovementsTest/FinancialCleanupTest.java:205</t>
  </si>
  <si>
    <t>src/test/java/FinancialMovementsTest/FinancialCleanupTest.java:212</t>
  </si>
  <si>
    <t>src/test/java/FinancialMovementsTest/FinancialCleanupTest.java:219</t>
  </si>
  <si>
    <t>waitsForBranchHydrationAfterClosingTheForm</t>
  </si>
  <si>
    <t>src/test/java/FinancialMovementsTest/FinancialCleanupTest.java:238</t>
  </si>
  <si>
    <t>FinancialFixtureTest</t>
  </si>
  <si>
    <t>createdFixturesAppearInFinancialLookups</t>
  </si>
  <si>
    <t>src/test/java/FinancialMovementsTest/FinancialFixtureTest.java:8</t>
  </si>
  <si>
    <t>FinancialScenarioTest</t>
  </si>
  <si>
    <t>إغلاق نموذج حركة مالية دون حفظ</t>
  </si>
  <si>
    <t>src/test/java/FinancialMovementsTest/FinancialScenarioTest.java:197</t>
  </si>
  <si>
    <t>إلغاء تعديل حركة مملوكة للاختبار</t>
  </si>
  <si>
    <t>src/test/java/FinancialMovementsTest/FinancialScenarioTest.java:200</t>
  </si>
  <si>
    <t>إلغاء حذف حركة مملوكة للاختبار</t>
  </si>
  <si>
    <t>src/test/java/FinancialMovementsTest/FinancialScenarioTest.java:206</t>
  </si>
  <si>
    <t>رفض قيمة مالية سالبة</t>
  </si>
  <si>
    <t>src/test/java/FinancialMovementsTest/FinancialScenarioTest.java:210</t>
  </si>
  <si>
    <t>رفض القيمة صفر</t>
  </si>
  <si>
    <t>src/test/java/FinancialMovementsTest/FinancialScenarioTest.java:211</t>
  </si>
  <si>
    <t>بنية قائمة الحركات وسجل الاختبار</t>
  </si>
  <si>
    <t>src/test/java/FinancialMovementsTest/FinancialScenarioTest.java:212</t>
  </si>
  <si>
    <t>تصدير قائمة الحركات PDF صالح</t>
  </si>
  <si>
    <t>src/test/java/FinancialMovementsTest/FinancialScenarioTest.java:215</t>
  </si>
  <si>
    <t>تصدير قائمة الحركات Excel صالح</t>
  </si>
  <si>
    <t>src/test/java/FinancialMovementsTest/FinancialScenarioTest.java:216</t>
  </si>
  <si>
    <t>OtherRevenueMovementTest</t>
  </si>
  <si>
    <t>AddOtherRevenueMovementWithSaveAndPrint</t>
  </si>
  <si>
    <t>إضافة حركة إيراد مع الحفظ والطباعة والتحقق من التقرير</t>
  </si>
  <si>
    <t>src/test/java/FinancialMovementsTest/OtherRevenueMovementTest.java:12</t>
  </si>
  <si>
    <t>EditOtherRevenueMovement</t>
  </si>
  <si>
    <t>تعديل حركة إيراد مع الحفظ والطباعة والتحقق من التقرير</t>
  </si>
  <si>
    <t>src/test/java/FinancialMovementsTest/OtherRevenueMovementTest.java:15</t>
  </si>
  <si>
    <t>AddOtherRevenueMovementWithSave</t>
  </si>
  <si>
    <t>إضافة حركة إيراد بالحفظ فقط</t>
  </si>
  <si>
    <t>src/test/java/FinancialMovementsTest/OtherRevenueMovementTest.java:18</t>
  </si>
  <si>
    <t>DeleteOtherRevenueMovement</t>
  </si>
  <si>
    <t>حذف حركة إيراد</t>
  </si>
  <si>
    <t>src/test/java/FinancialMovementsTest/OtherRevenueMovementTest.java:21</t>
  </si>
  <si>
    <t>AssertTypeRequiredErrorMessage</t>
  </si>
  <si>
    <t>التحقق - نوع الإيراد إلزامي</t>
  </si>
  <si>
    <t>src/test/java/FinancialMovementsTest/OtherRevenueMovementTest.java:24</t>
  </si>
  <si>
    <t>AssertAmountRequiredErrorMessage</t>
  </si>
  <si>
    <t>التحقق - المبلغ إلزامي في حركة الإيراد</t>
  </si>
  <si>
    <t>src/test/java/FinancialMovementsTest/OtherRevenueMovementTest.java:27</t>
  </si>
  <si>
    <t>AssertPaymentMethodRequiredErrorMessage</t>
  </si>
  <si>
    <t>التحقق - طريقة الدفع إلزامية في حركة الإيراد</t>
  </si>
  <si>
    <t>src/test/java/FinancialMovementsTest/OtherRevenueMovementTest.java:30</t>
  </si>
  <si>
    <t>src/test/java/FinancialMovementsTest/OtherRevenueMovementTest.java:33</t>
  </si>
  <si>
    <t>src/test/java/FinancialMovementsTest/OtherRevenueMovementTest.java:34</t>
  </si>
  <si>
    <t>src/test/java/FinancialMovementsTest/OtherRevenueMovementTest.java:35</t>
  </si>
  <si>
    <t>src/test/java/FinancialMovementsTest/OtherRevenueMovementTest.java:36</t>
  </si>
  <si>
    <t>src/test/java/FinancialMovementsTest/OtherRevenueMovementTest.java:37</t>
  </si>
  <si>
    <t>src/test/java/FinancialMovementsTest/OtherRevenueMovementTest.java:38</t>
  </si>
  <si>
    <t>src/test/java/FinancialMovementsTest/OtherRevenueMovementTest.java:39</t>
  </si>
  <si>
    <t>src/test/java/FinancialMovementsTest/OtherRevenueMovementTest.java:40</t>
  </si>
  <si>
    <t>SupplierBillOfExchangeTest</t>
  </si>
  <si>
    <t>AddSupplierBillOfExchangeTest</t>
  </si>
  <si>
    <t>إضافة سند صرف مورد مع توزيع على الفواتير</t>
  </si>
  <si>
    <t>src/test/java/FinancialMovementsTest/SupplierBillOfExchangeTest.java:12</t>
  </si>
  <si>
    <t>AddSupplierBillWithSaveTest</t>
  </si>
  <si>
    <t>إضافة سند صرف مورد بالحفظ فقط</t>
  </si>
  <si>
    <t>src/test/java/FinancialMovementsTest/SupplierBillOfExchangeTest.java:15</t>
  </si>
  <si>
    <t>AddSupplierBillWithSaveAndPrint</t>
  </si>
  <si>
    <t>إضافة سند صرف مورد مع الحفظ والطباعة والتحقق من التقرير</t>
  </si>
  <si>
    <t>src/test/java/FinancialMovementsTest/SupplierBillOfExchangeTest.java:18</t>
  </si>
  <si>
    <t>EditSupplierBillAfterReport</t>
  </si>
  <si>
    <t>تعديل سند صرف مورد مع الحفظ والطباعة والتحقق من التقرير</t>
  </si>
  <si>
    <t>src/test/java/FinancialMovementsTest/SupplierBillOfExchangeTest.java:21</t>
  </si>
  <si>
    <t>DeleteSupplierBillTest</t>
  </si>
  <si>
    <t>حذف سند صرف مورد</t>
  </si>
  <si>
    <t>src/test/java/FinancialMovementsTest/SupplierBillOfExchangeTest.java:24</t>
  </si>
  <si>
    <t>AssertRequiredErrorsMessageForSupplier</t>
  </si>
  <si>
    <t>التحقق - المورد إلزامي في سند الصرف</t>
  </si>
  <si>
    <t>src/test/java/FinancialMovementsTest/SupplierBillOfExchangeTest.java:27</t>
  </si>
  <si>
    <t>التحقق - المبلغ وطريقة الدفع إلزاميان في سند الصرف</t>
  </si>
  <si>
    <t>src/test/java/FinancialMovementsTest/SupplierBillOfExchangeTest.java:30</t>
  </si>
  <si>
    <t>التحقق - طريقة الدفع إلزامية في سند الصرف</t>
  </si>
  <si>
    <t>src/test/java/FinancialMovementsTest/SupplierBillOfExchangeTest.java:33</t>
  </si>
  <si>
    <t>التحقق - خيار طريقة الدفع إلزامي في سند الصرف</t>
  </si>
  <si>
    <t>src/test/java/FinancialMovementsTest/SupplierBillOfExchangeTest.java:36</t>
  </si>
  <si>
    <t>التحقق - خطأ عند إدخال تاريخ قديم في سند الصرف</t>
  </si>
  <si>
    <t>src/test/java/FinancialMovementsTest/SupplierBillOfExchangeTest.java:39</t>
  </si>
  <si>
    <t>src/test/java/FinancialMovementsTest/SupplierBillOfExchangeTest.java:42</t>
  </si>
  <si>
    <t>src/test/java/FinancialMovementsTest/SupplierBillOfExchangeTest.java:43</t>
  </si>
  <si>
    <t>src/test/java/FinancialMovementsTest/SupplierBillOfExchangeTest.java:44</t>
  </si>
  <si>
    <t>src/test/java/FinancialMovementsTest/SupplierBillOfExchangeTest.java:45</t>
  </si>
  <si>
    <t>src/test/java/FinancialMovementsTest/SupplierBillOfExchangeTest.java:46</t>
  </si>
  <si>
    <t>src/test/java/FinancialMovementsTest/SupplierBillOfExchangeTest.java:47</t>
  </si>
  <si>
    <t>src/test/java/FinancialMovementsTest/SupplierBillOfExchangeTest.java:48</t>
  </si>
  <si>
    <t>src/test/java/FinancialMovementsTest/SupplierBillOfExchangeTest.java:49</t>
  </si>
  <si>
    <t>SupplierDiscountNoticeTest</t>
  </si>
  <si>
    <t>AddSupplierDiscountNoticeAnd_VerifyCalculationsAndReport</t>
  </si>
  <si>
    <t>إضافة إشعار خصم مورد مع التحقق من الحسابات والتقرير</t>
  </si>
  <si>
    <t>src/test/java/FinancialMovementsTest/SupplierDiscountNoticeTest.java:12</t>
  </si>
  <si>
    <t>EditSupplierDiscountNoticeAnd_VerifyCalculationsAndReport</t>
  </si>
  <si>
    <t>تعديل إشعار خصم مورد</t>
  </si>
  <si>
    <t>src/test/java/FinancialMovementsTest/SupplierDiscountNoticeTest.java:15</t>
  </si>
  <si>
    <t>AddSupplierDiscountNoticeAnd_VerifyCalculationsAndCustom</t>
  </si>
  <si>
    <t>إضافة إشعار خصم مورد مع سند مخصص</t>
  </si>
  <si>
    <t>src/test/java/FinancialMovementsTest/SupplierDiscountNoticeTest.java:18</t>
  </si>
  <si>
    <t>AddSupplierDiscountNoticeAnd_VerifyCalculationsAndSave</t>
  </si>
  <si>
    <t>إضافة إشعار خصم مورد وحفظه مباشرة</t>
  </si>
  <si>
    <t>src/test/java/FinancialMovementsTest/SupplierDiscountNoticeTest.java:21</t>
  </si>
  <si>
    <t>حذف إشعار خصم مورد مملوك للاختبار</t>
  </si>
  <si>
    <t>src/test/java/FinancialMovementsTest/SupplierDiscountNoticeTest.java:24</t>
  </si>
  <si>
    <t>التحقق من عدم الحفظ ببيانات تاريخ غير صحيحة</t>
  </si>
  <si>
    <t>src/test/java/FinancialMovementsTest/SupplierDiscountNoticeTest.java:27</t>
  </si>
  <si>
    <t>التحقق من إلزامية اختيار المورد</t>
  </si>
  <si>
    <t>src/test/java/FinancialMovementsTest/SupplierDiscountNoticeTest.java:30</t>
  </si>
  <si>
    <t>التحقق من إلزامية إدخال قيمة الخصم</t>
  </si>
  <si>
    <t>src/test/java/FinancialMovementsTest/SupplierDiscountNoticeTest.java:33</t>
  </si>
  <si>
    <t>src/test/java/FinancialMovementsTest/SupplierDiscountNoticeTest.java:36</t>
  </si>
  <si>
    <t>src/test/java/FinancialMovementsTest/SupplierDiscountNoticeTest.java:37</t>
  </si>
  <si>
    <t>src/test/java/FinancialMovementsTest/SupplierDiscountNoticeTest.java:38</t>
  </si>
  <si>
    <t>src/test/java/FinancialMovementsTest/SupplierDiscountNoticeTest.java:39</t>
  </si>
  <si>
    <t>src/test/java/FinancialMovementsTest/SupplierDiscountNoticeTest.java:40</t>
  </si>
  <si>
    <t>src/test/java/FinancialMovementsTest/SupplierDiscountNoticeTest.java:41</t>
  </si>
  <si>
    <t>src/test/java/FinancialMovementsTest/SupplierDiscountNoticeTest.java:42</t>
  </si>
  <si>
    <t>src/test/java/FinancialMovementsTest/SupplierDiscountNoticeTest.java:43</t>
  </si>
  <si>
    <t>TransfersAndSettlementsTest</t>
  </si>
  <si>
    <t>AddNewTransferAndSettlement_SaveAndPrint_AndAssertResults</t>
  </si>
  <si>
    <t>إضافة تحويل وتسوية جديد</t>
  </si>
  <si>
    <t>src/test/java/FinancialMovementsTest/TransfersAndSettlementsTest.java:12</t>
  </si>
  <si>
    <t>EditTransferAndSettlement_SaveAndPrint_AndAssertResults</t>
  </si>
  <si>
    <t>تعديل تحويل وتسوية</t>
  </si>
  <si>
    <t>src/test/java/FinancialMovementsTest/TransfersAndSettlementsTest.java:15</t>
  </si>
  <si>
    <t>AddFromCashToCash_SaveAndPrint_AndAssertResults</t>
  </si>
  <si>
    <t>src/test/java/FinancialMovementsTest/TransfersAndSettlementsTest.java:18</t>
  </si>
  <si>
    <t>AddFromCashToBank_SaveAndPrint_AndAssertResults</t>
  </si>
  <si>
    <t>src/test/java/FinancialMovementsTest/TransfersAndSettlementsTest.java:21</t>
  </si>
  <si>
    <t>AddFromCashToAgent_SaveAndPrint_AndAssertResults</t>
  </si>
  <si>
    <t>src/test/java/FinancialMovementsTest/TransfersAndSettlementsTest.java:24</t>
  </si>
  <si>
    <t>FromCashToSupplier</t>
  </si>
  <si>
    <t>src/test/java/FinancialMovementsTest/TransfersAndSettlementsTest.java:27</t>
  </si>
  <si>
    <t>fromBankToCash</t>
  </si>
  <si>
    <t>src/test/java/FinancialMovementsTest/TransfersAndSettlementsTest.java:30</t>
  </si>
  <si>
    <t>fromBankToBank</t>
  </si>
  <si>
    <t>src/test/java/FinancialMovementsTest/TransfersAndSettlementsTest.java:33</t>
  </si>
  <si>
    <t>fromBankToAgent</t>
  </si>
  <si>
    <t>src/test/java/FinancialMovementsTest/TransfersAndSettlementsTest.java:36</t>
  </si>
  <si>
    <t>fromBankToSupplier</t>
  </si>
  <si>
    <t>src/test/java/FinancialMovementsTest/TransfersAndSettlementsTest.java:39</t>
  </si>
  <si>
    <t>fromAgentToCash</t>
  </si>
  <si>
    <t>src/test/java/FinancialMovementsTest/TransfersAndSettlementsTest.java:42</t>
  </si>
  <si>
    <t>fromAgentToBank</t>
  </si>
  <si>
    <t>src/test/java/FinancialMovementsTest/TransfersAndSettlementsTest.java:45</t>
  </si>
  <si>
    <t>fromAgentToAgent</t>
  </si>
  <si>
    <t>src/test/java/FinancialMovementsTest/TransfersAndSettlementsTest.java:48</t>
  </si>
  <si>
    <t>fromAgentToSupplier</t>
  </si>
  <si>
    <t>src/test/java/FinancialMovementsTest/TransfersAndSettlementsTest.java:51</t>
  </si>
  <si>
    <t>fromSupplierToCash</t>
  </si>
  <si>
    <t>src/test/java/FinancialMovementsTest/TransfersAndSettlementsTest.java:54</t>
  </si>
  <si>
    <t>fromSupplierToBank</t>
  </si>
  <si>
    <t>src/test/java/FinancialMovementsTest/TransfersAndSettlementsTest.java:57</t>
  </si>
  <si>
    <t>fromSupplierToAgent</t>
  </si>
  <si>
    <t>src/test/java/FinancialMovementsTest/TransfersAndSettlementsTest.java:60</t>
  </si>
  <si>
    <t>fromSupplierToSupplier</t>
  </si>
  <si>
    <t>src/test/java/FinancialMovementsTest/TransfersAndSettlementsTest.java:63</t>
  </si>
  <si>
    <t>حذف تحويل وتسوية مملوكين للاختبار</t>
  </si>
  <si>
    <t>src/test/java/FinancialMovementsTest/TransfersAndSettlementsTest.java:66</t>
  </si>
  <si>
    <t>AssertTypeDontSendToSameType</t>
  </si>
  <si>
    <t>التحقق من منع التحويل لنفس الحساب</t>
  </si>
  <si>
    <t>src/test/java/FinancialMovementsTest/TransfersAndSettlementsTest.java:69</t>
  </si>
  <si>
    <t>AssertValueErorrMessage</t>
  </si>
  <si>
    <t>التحقق من رفض قيمة تحويل سالبة</t>
  </si>
  <si>
    <t>src/test/java/FinancialMovementsTest/TransfersAndSettlementsTest.java:72</t>
  </si>
  <si>
    <t>AssertselectEverySideOption</t>
  </si>
  <si>
    <t>التحقق من إلزامية اختيار جميع أطراف التحويل</t>
  </si>
  <si>
    <t>src/test/java/FinancialMovementsTest/TransfersAndSettlementsTest.java:75</t>
  </si>
  <si>
    <t>src/test/java/FinancialMovementsTest/TransfersAndSettlementsTest.java:78</t>
  </si>
  <si>
    <t>src/test/java/FinancialMovementsTest/TransfersAndSettlementsTest.java:79</t>
  </si>
  <si>
    <t>src/test/java/FinancialMovementsTest/TransfersAndSettlementsTest.java:80</t>
  </si>
  <si>
    <t>src/test/java/FinancialMovementsTest/TransfersAndSettlementsTest.java:81</t>
  </si>
  <si>
    <t>src/test/java/FinancialMovementsTest/TransfersAndSettlementsTest.java:82</t>
  </si>
  <si>
    <t>src/test/java/FinancialMovementsTest/TransfersAndSettlementsTest.java:83</t>
  </si>
  <si>
    <t>src/test/java/FinancialMovementsTest/TransfersAndSettlementsTest.java:84</t>
  </si>
  <si>
    <t>src/test/java/FinancialMovementsTest/TransfersAndSettlementsTest.java:85</t>
  </si>
  <si>
    <t>VouchersTest</t>
  </si>
  <si>
    <t>OpenVouchersPageTest</t>
  </si>
  <si>
    <t>فتح شاشة القيود اليومية</t>
  </si>
  <si>
    <t>src/test/java/GenralAccountantTest/VouchersTest.java:36</t>
  </si>
  <si>
    <t>VoucherDateIsPrepopulatedTest</t>
  </si>
  <si>
    <t>إظهار تاريخ القيد</t>
  </si>
  <si>
    <t>src/test/java/GenralAccountantTest/VouchersTest.java:50</t>
  </si>
  <si>
    <t>SaveActionsAvailableTest</t>
  </si>
  <si>
    <t>إتاحة الحفظ والطباعة</t>
  </si>
  <si>
    <t>src/test/java/GenralAccountantTest/VouchersTest.java:64</t>
  </si>
  <si>
    <t>RejectEmptyVoucherTest</t>
  </si>
  <si>
    <t>منع حفظ قيد فارغ</t>
  </si>
  <si>
    <t>src/test/java/GenralAccountantTest/VouchersTest.java:79</t>
  </si>
  <si>
    <t>NotesAcceptArabicEnglishAndNumbersTest</t>
  </si>
  <si>
    <t>حفظ الملاحظات في نموذج القيد</t>
  </si>
  <si>
    <t>src/test/java/GenralAccountantTest/VouchersTest.java:94</t>
  </si>
  <si>
    <t>SearchAccountByCodeTest</t>
  </si>
  <si>
    <t>اختيار الحساب بالبحث عن الكود</t>
  </si>
  <si>
    <t>src/test/java/GenralAccountantTest/VouchersTest.java:109</t>
  </si>
  <si>
    <t>SearchAccountByNameTest</t>
  </si>
  <si>
    <t>البحث في الحسابات بالاسم</t>
  </si>
  <si>
    <t>src/test/java/GenralAccountantTest/VouchersTest.java:129</t>
  </si>
  <si>
    <t>SearchAccountWithoutResultsTest</t>
  </si>
  <si>
    <t>البحث عن حساب غير موجود</t>
  </si>
  <si>
    <t>src/test/java/GenralAccountantTest/VouchersTest.java:149</t>
  </si>
  <si>
    <t>SelectAccountFromSearchTest</t>
  </si>
  <si>
    <t>اختيار حساب من نافذة البحث</t>
  </si>
  <si>
    <t>src/test/java/GenralAccountantTest/VouchersTest.java:167</t>
  </si>
  <si>
    <t>CloseAccountPickerKeepsSelectedLineTest</t>
  </si>
  <si>
    <t>اختيار حساب وإغلاق نافذة الاختيار</t>
  </si>
  <si>
    <t>src/test/java/GenralAccountantTest/VouchersTest.java:181</t>
  </si>
  <si>
    <t>ZeroAmountsKeepZeroDraftTotalsTest</t>
  </si>
  <si>
    <t>إجماليات المبالغ الصفرية</t>
  </si>
  <si>
    <t>src/test/java/GenralAccountantTest/VouchersTest.java:198</t>
  </si>
  <si>
    <t>AddingLinePreservesPreviousValuesTest</t>
  </si>
  <si>
    <t>إضافة بند دون تغيير البنود السابقة</t>
  </si>
  <si>
    <t>src/test/java/GenralAccountantTest/VouchersTest.java:212</t>
  </si>
  <si>
    <t>BalancedEntryTotalsTest</t>
  </si>
  <si>
    <t>التحقق من توازن مسودة القيد</t>
  </si>
  <si>
    <t>src/test/java/GenralAccountantTest/VouchersTest.java:229</t>
  </si>
  <si>
    <t>UnbalancedEntryTotalsTest</t>
  </si>
  <si>
    <t>التحقق من عدم اتزان المسودة</t>
  </si>
  <si>
    <t>src/test/java/GenralAccountantTest/VouchersTest.java:248</t>
  </si>
  <si>
    <t>RecalculateBalanceAfterAmountEditTest</t>
  </si>
  <si>
    <t>إعادة احتساب الاتزان بعد تعديل مبلغ</t>
  </si>
  <si>
    <t>src/test/java/GenralAccountantTest/VouchersTest.java:267</t>
  </si>
  <si>
    <t>MultiLineDecimalTotalsTest</t>
  </si>
  <si>
    <t>قيد متعدد البنود ودقة الكسور</t>
  </si>
  <si>
    <t>src/test/java/GenralAccountantTest/VouchersTest.java:288</t>
  </si>
  <si>
    <t>RemoveLineUpdatesDraftTotalsTest</t>
  </si>
  <si>
    <t>حذف بند من مسودة القيد</t>
  </si>
  <si>
    <t>src/test/java/GenralAccountantTest/VouchersTest.java:308</t>
  </si>
  <si>
    <t>AmountFieldsAreNumericTest</t>
  </si>
  <si>
    <t>JV-007 حقل المبلغ الرقمي</t>
  </si>
  <si>
    <t>src/test/java/GenralAccountantTest/VouchersTest.java:327</t>
  </si>
  <si>
    <t>SameLineDebitCreditDraftTest</t>
  </si>
  <si>
    <t>JV-009 إدخال المدين والدائن في البند نفسه</t>
  </si>
  <si>
    <t>src/test/java/GenralAccountantTest/VouchersTest.java:344</t>
  </si>
  <si>
    <t>SelectAccountFromLineDropdownTest</t>
  </si>
  <si>
    <t>JV-016 اختيار حساب من القائمة المنسدلة</t>
  </si>
  <si>
    <t>src/test/java/GenralAccountantTest/VouchersTest.java:362</t>
  </si>
  <si>
    <t>VoucherDateFormatTest</t>
  </si>
  <si>
    <t>JV-028 فحص التاريخ الافتراضي</t>
  </si>
  <si>
    <t>src/test/java/GenralAccountantTest/VouchersTest.java:377</t>
  </si>
  <si>
    <t>LineNotesAcceptMixedTextTest</t>
  </si>
  <si>
    <t>JV-032 حفظ ملاحظة البند</t>
  </si>
  <si>
    <t>src/test/java/GenralAccountantTest/VouchersTest.java:391</t>
  </si>
  <si>
    <t>AccountSearchAvailableInLinesTest</t>
  </si>
  <si>
    <t>JV-040 البحث في جدول البنود</t>
  </si>
  <si>
    <t>معطلة</t>
  </si>
  <si>
    <t>src/test/java/GenralAccountantTest/VouchersTest.java:406</t>
  </si>
  <si>
    <t>TaxSettlementTest</t>
  </si>
  <si>
    <t>JV-020 اختبار علامة تسوية الضريبة</t>
  </si>
  <si>
    <t>src/test/java/GenralAccountantTest/VouchersTest.java:424</t>
  </si>
  <si>
    <t>RejectUnbalancedVoucherOnSaveTest</t>
  </si>
  <si>
    <t>JV-002 رفض حفظ القيد غير المتزن</t>
  </si>
  <si>
    <t>src/test/java/GenralAccountantTest/VouchersTest.java:442</t>
  </si>
  <si>
    <t>RejectZeroValueVoucherOnSaveTest</t>
  </si>
  <si>
    <t>JV-006 منع القيد ذي المبالغ الصفرية</t>
  </si>
  <si>
    <t>src/test/java/GenralAccountantTest/VouchersTest.java:476</t>
  </si>
  <si>
    <t>RejectNegativeJournalAmountTest</t>
  </si>
  <si>
    <t>JV-007 رفض المبلغ السالب عند التحقق</t>
  </si>
  <si>
    <t>src/test/java/GenralAccountantTest/VouchersTest.java:489</t>
  </si>
  <si>
    <t>NoMarkedValidationVouchersRemainTest</t>
  </si>
  <si>
    <t>تنظيف قيود الاختبار</t>
  </si>
  <si>
    <t>src/test/java/GenralAccountantTest/VouchersTest.java:529</t>
  </si>
  <si>
    <t>SavePrintEditAndDeleteTestVoucher</t>
  </si>
  <si>
    <t>دورة حفظ وطباعة وتعديل وحذف قيد اختباري</t>
  </si>
  <si>
    <t>src/test/java/GenralAccountantTest/VouchersTest.java:551</t>
  </si>
  <si>
    <t>RejectDebitAndCreditOnSameLineTest</t>
  </si>
  <si>
    <t>JV-009 قاعدة المدين والدائن في البند نفسه</t>
  </si>
  <si>
    <t>src/test/java/GenralAccountantTest/VouchersTest.java:617</t>
  </si>
  <si>
    <t>InvoiceListTestCases</t>
  </si>
  <si>
    <t>BrowseInvoiceListShowsDefaultRows</t>
  </si>
  <si>
    <t>فتح القائمة المفلترة بمستندات عميل الاختبار</t>
  </si>
  <si>
    <t>src/test/java/Invoice/InvoiceListTestCases.java:15</t>
  </si>
  <si>
    <t>InvoiceListTableShowsColumnsAndAlignedRows</t>
  </si>
  <si>
    <t>التحقق من أعمدة جدول الفواتير وتطابق عدد خلايا الصفوف معها</t>
  </si>
  <si>
    <t>src/test/java/Invoice/InvoiceListTestCases.java:16</t>
  </si>
  <si>
    <t>NotFoundInvoiceTextFiltersShowEmptyState</t>
  </si>
  <si>
    <t>فلاتر النص غير المطابقة تعرض قائمة فارغة لكل حقل</t>
  </si>
  <si>
    <t>src/test/java/Invoice/InvoiceListTestCases.java:18</t>
  </si>
  <si>
    <t>PartialCodeFilterReturnsOnlyMatchingRows</t>
  </si>
  <si>
    <t>البحث بجزء من الكود يعرض السجلات المطابقة فقط</t>
  </si>
  <si>
    <t>src/test/java/Invoice/InvoiceListTestCases.java:20</t>
  </si>
  <si>
    <t>ResetInvoiceFiltersReturnsToDefaultResults</t>
  </si>
  <si>
    <t>مسح الفلاتر يعيد مستندات عميل الاختبار</t>
  </si>
  <si>
    <t>src/test/java/Invoice/InvoiceListTestCases.java:21</t>
  </si>
  <si>
    <t>ChangingAppliedFilterRefreshesResults</t>
  </si>
  <si>
    <t>تغيير فلتر مطبق يحدث نتائج القائمة</t>
  </si>
  <si>
    <t>src/test/java/Invoice/InvoiceListTestCases.java:22</t>
  </si>
  <si>
    <t>InvoicePageSizeCanBeSelected</t>
  </si>
  <si>
    <t>اختيار كل حجم صفحة مدعوم يحافظ على النتائج</t>
  </si>
  <si>
    <t>src/test/java/Invoice/InvoiceListTestCases.java:24</t>
  </si>
  <si>
    <t>InvoicePageSizeOptionsAreExpected</t>
  </si>
  <si>
    <t>خيارات حجم الصفحة تساوي خمسة وعشرين وخمسين ومائة وخمسمائة</t>
  </si>
  <si>
    <t>src/test/java/Invoice/InvoiceListTestCases.java:25</t>
  </si>
  <si>
    <t>PaginationMovesForwardAndBack</t>
  </si>
  <si>
    <t>الانتقال للصفحة التالية ثم السابقة يعيد نفس السجلات</t>
  </si>
  <si>
    <t>src/test/java/Invoice/InvoiceListTestCases.java:26</t>
  </si>
  <si>
    <t>PaginationCanOpenAnExplicitPageNumber</t>
  </si>
  <si>
    <t>فتح صفحة برقمها ثم العودة للصفحة الأولى</t>
  </si>
  <si>
    <t>src/test/java/Invoice/InvoiceListTestCases.java:27</t>
  </si>
  <si>
    <t>PreviousIsDisabledOnFirstInvoicePage</t>
  </si>
  <si>
    <t>تعطيل زر السابق في أول صفحة</t>
  </si>
  <si>
    <t>src/test/java/Invoice/InvoiceListTestCases.java:28</t>
  </si>
  <si>
    <t>LastInvoicePageDisablesNext</t>
  </si>
  <si>
    <t>تعطيل زر التالي في آخر صفحة</t>
  </si>
  <si>
    <t>src/test/java/Invoice/InvoiceListTestCases.java:29</t>
  </si>
  <si>
    <t>FilterCanBeAppliedFromAdvancedPage</t>
  </si>
  <si>
    <t>تطبيق فلتر من صفحة متقدمة يعيد النتائج للصفحة الأولى</t>
  </si>
  <si>
    <t>src/test/java/Invoice/InvoiceListTestCases.java:30</t>
  </si>
  <si>
    <t>EmptyFiltersAndRefreshKeepInvoiceListHealthy</t>
  </si>
  <si>
    <t>مسح فلاتر النص وإعادة فتح القائمة يحافظان على النتائج</t>
  </si>
  <si>
    <t>src/test/java/Invoice/InvoiceListTestCases.java:32</t>
  </si>
  <si>
    <t>RefreshAfterApplyingFilterKeepsAConsistentState</t>
  </si>
  <si>
    <t>إعادة تطبيق الفلتر بعد فتح القائمة تعطي نفس النتائج</t>
  </si>
  <si>
    <t>src/test/java/Invoice/InvoiceListTestCases.java:33</t>
  </si>
  <si>
    <t>InvoiceRowsDoNotRepeatAcrossAdjacentPages</t>
  </si>
  <si>
    <t>عدم تكرار الفواتير بين صفحتين متجاورتين</t>
  </si>
  <si>
    <t>src/test/java/Invoice/InvoiceListTestCases.java:34</t>
  </si>
  <si>
    <t>SortingInvoiceCodeAscendingAndDescending</t>
  </si>
  <si>
    <t>ترتيب كود الفاتورة تصاعدياً وتنازلياً</t>
  </si>
  <si>
    <t>src/test/java/Invoice/InvoiceListTestCases.java:35</t>
  </si>
  <si>
    <t>SortingByDateColumn</t>
  </si>
  <si>
    <t>ترتيب تاريخ الفاتورة تصاعدياً وتنازلياً</t>
  </si>
  <si>
    <t>src/test/java/Invoice/InvoiceListTestCases.java:36</t>
  </si>
  <si>
    <t>InvoiceDropdownFilterCanSelectAnExistingOption</t>
  </si>
  <si>
    <t>اختيار عميل أو مندوب الاختبار من فلاتر القائمة</t>
  </si>
  <si>
    <t>src/test/java/Invoice/InvoiceListTestCases.java:38</t>
  </si>
  <si>
    <t>PaymentStatusFilterShowsOnlySelectedStatus</t>
  </si>
  <si>
    <t>فلتر حالة الدفع يعرض المستند المطابق للمبلغ المدفوع</t>
  </si>
  <si>
    <t>src/test/java/Invoice/InvoiceListTestCases.java:40</t>
  </si>
  <si>
    <t>PaymentStatusAllRestoresUnrestrictedResults</t>
  </si>
  <si>
    <t>إعادة حالة الدفع إلى الكل تسترجع جميع الحالات</t>
  </si>
  <si>
    <t>src/test/java/Invoice/InvoiceListTestCases.java:41</t>
  </si>
  <si>
    <t>InvoiceMovementTypeCanBeFilteredAndResetToAll</t>
  </si>
  <si>
    <t>فلترة نوع الحركة ثم استعادة جميع الأنواع</t>
  </si>
  <si>
    <t>src/test/java/Invoice/InvoiceListTestCases.java:42</t>
  </si>
  <si>
    <t>ValidAndSingleDayInvoiceDateRangesAreAccepted</t>
  </si>
  <si>
    <t>قبول نطاق تاريخ صحيح يشمل يوماً واحداً</t>
  </si>
  <si>
    <t>src/test/java/Invoice/InvoiceListTestCases.java:43</t>
  </si>
  <si>
    <t>BroadValidInvoiceDateRangeKeepsTheInvoiceListAvailable</t>
  </si>
  <si>
    <t>نطاق تاريخ السنة يعرض فاتورة الاختبار</t>
  </si>
  <si>
    <t>src/test/java/Invoice/InvoiceListTestCases.java:44</t>
  </si>
  <si>
    <t>InvalidInvoiceDateRangeDoesNotReturnMisleadingRows</t>
  </si>
  <si>
    <t>نطاق تاريخ معكوس يعرض تحققاً أو قائمة فارغة دون نتائج مضللة</t>
  </si>
  <si>
    <t>src/test/java/Invoice/InvoiceListTestCases.java:45</t>
  </si>
  <si>
    <t>DateRangeWithoutRecordsShowsNoStaleRows</t>
  </si>
  <si>
    <t>نطاق تاريخ بلا سجلات يمسح الصفوف القديمة</t>
  </si>
  <si>
    <t>src/test/java/Invoice/InvoiceListTestCases.java:46</t>
  </si>
  <si>
    <t>CombinedInvoiceFiltersAndSortingKeepBothConditions</t>
  </si>
  <si>
    <t>دمج فلتر الملاحظات والترتيب يحافظ على شرط الفلترة</t>
  </si>
  <si>
    <t>src/test/java/Invoice/InvoiceListTestCases.java:47</t>
  </si>
  <si>
    <t>CombinedCodeAndDateFilterReturnsOnlyMatchingCode</t>
  </si>
  <si>
    <t>دمج الكود والتاريخ يعرض الفاتورة المطابقة فقط</t>
  </si>
  <si>
    <t>src/test/java/Invoice/InvoiceListTestCases.java:48</t>
  </si>
  <si>
    <t>ConflictingInvoiceFiltersShowNoResults</t>
  </si>
  <si>
    <t>فلاتر متعارضة تعرض قائمة فارغة</t>
  </si>
  <si>
    <t>src/test/java/Invoice/InvoiceListTestCases.java:49</t>
  </si>
  <si>
    <t>PaginationPreservesFilterAndSortAndResetsPageForNewFilter</t>
  </si>
  <si>
    <t>التنقل يحافظ على الفلتر والترتيب والفلتر الجديد يعيد الصفحة الأولى</t>
  </si>
  <si>
    <t>src/test/java/Invoice/InvoiceListTestCases.java:50</t>
  </si>
  <si>
    <t>SwitchingPageNumberAndPageSizeFromLaterPageWorks</t>
  </si>
  <si>
    <t>تغيير حجم الصفحة من صفحة متقدمة يعيد الصفحة الأولى</t>
  </si>
  <si>
    <t>src/test/java/Invoice/InvoiceListTestCases.java:51</t>
  </si>
  <si>
    <t>PageSizeWorksWithFilterAndSortAndSmallResultSet</t>
  </si>
  <si>
    <t>حجم صفحة كبير يحافظ على الفلتر والترتيب والنتائج الصغيرة</t>
  </si>
  <si>
    <t>src/test/java/Invoice/InvoiceListTestCases.java:52</t>
  </si>
  <si>
    <t>AdjacentInvoicePagesHaveDistinctRowsAndReturnToFirst</t>
  </si>
  <si>
    <t>الصفحات المتجاورة بلا تكرار والعودة للأولى تعيد سجلاتها</t>
  </si>
  <si>
    <t>src/test/java/Invoice/InvoiceListTestCases.java:53</t>
  </si>
  <si>
    <t>InvoiceTablePageSizeCanExceedSmallResultSet</t>
  </si>
  <si>
    <t>حجم صفحة أكبر من عدد النتائج يعرض جميع سجلات الاختبار</t>
  </si>
  <si>
    <t>src/test/java/Invoice/InvoiceListTestCases.java:54</t>
  </si>
  <si>
    <t>ExportInvoiceListToPdf</t>
  </si>
  <si>
    <t>تصدير فواتير الاختبار إلى ملف PDF فعلي</t>
  </si>
  <si>
    <t>src/test/java/Invoice/InvoiceListTestCases.java:55</t>
  </si>
  <si>
    <t>ExportInvoiceListToExcel</t>
  </si>
  <si>
    <t>تصدير فواتير الاختبار إلى ملف Excel فعلي</t>
  </si>
  <si>
    <t>src/test/java/Invoice/InvoiceListTestCases.java:56</t>
  </si>
  <si>
    <t>InvoiceTest</t>
  </si>
  <si>
    <t>AddInvoice</t>
  </si>
  <si>
    <t>إنشاء فاتورة بيع آجلة بأصناف الاختبار</t>
  </si>
  <si>
    <t>src/test/java/Invoice/InvoiceTest.java:6</t>
  </si>
  <si>
    <t>AddInvoiceCash</t>
  </si>
  <si>
    <t>إنشاء فاتورة بيع نقدية بوسيلة دفع الاختبار</t>
  </si>
  <si>
    <t>src/test/java/Invoice/InvoiceTest.java:7</t>
  </si>
  <si>
    <t>AddPurchesBillsByNameTest</t>
  </si>
  <si>
    <t>إنشاء فاتورة بيع بإضافة الصنف بالاسم</t>
  </si>
  <si>
    <t>src/test/java/Invoice/InvoiceTest.java:8</t>
  </si>
  <si>
    <t>AddPurchesBillsByBarcodTest</t>
  </si>
  <si>
    <t>إنشاء فاتورة بيع بإضافة الصنف بالباركود</t>
  </si>
  <si>
    <t>src/test/java/Invoice/InvoiceTest.java:9</t>
  </si>
  <si>
    <t>AddPurchesBillsWithSaveBuutonTest</t>
  </si>
  <si>
    <t>حفظ فاتورة بيع بصنف مختار من القائمة</t>
  </si>
  <si>
    <t>src/test/java/Invoice/InvoiceTest.java:10</t>
  </si>
  <si>
    <t>AddWithOutProduct</t>
  </si>
  <si>
    <t>منع حفظ فاتورة البيع بدون أصناف</t>
  </si>
  <si>
    <t>src/test/java/Invoice/InvoiceTest.java:11</t>
  </si>
  <si>
    <t>LinkedSalesReturnTest</t>
  </si>
  <si>
    <t>partialLinkedReturnRestoresOnlyReturnedQuantity</t>
  </si>
  <si>
    <t>مرتجع جزئي يعيد للمخزون الكمية المرتجعة فقط</t>
  </si>
  <si>
    <t>src/test/java/Invoice/LinkedSalesReturnTest.java:17</t>
  </si>
  <si>
    <t>linkedReturnCannotExceedOriginalQuantity</t>
  </si>
  <si>
    <t>منع مرتجع مرتبط يتجاوز الكمية المباعة بالفاتورة الأصلية</t>
  </si>
  <si>
    <t>src/test/java/Invoice/LinkedSalesReturnTest.java:18</t>
  </si>
  <si>
    <t>fullLinkedReturnRestoresSoldQuantity</t>
  </si>
  <si>
    <t>مرتجع كامل يعيد للمخزون كامل الكمية المباعة</t>
  </si>
  <si>
    <t>src/test/java/Invoice/LinkedSalesReturnTest.java:19</t>
  </si>
  <si>
    <t>cumulativeLinkedReturnsCannotExceedSoldQuantity</t>
  </si>
  <si>
    <t>منع مجموع المرتجعات المرتبطة من تجاوز الكمية المباعة</t>
  </si>
  <si>
    <t>src/test/java/Invoice/LinkedSalesReturnTest.java:20</t>
  </si>
  <si>
    <t>SalesCalculationTest</t>
  </si>
  <si>
    <t>untaxedInvoice</t>
  </si>
  <si>
    <t>حساب ثلاثة بنود بسعر مائة دون ضريبة بصافي ثلاثمائة</t>
  </si>
  <si>
    <t>src/test/java/Invoice/SalesCalculationTest.java:21</t>
  </si>
  <si>
    <t>exclusiveVat</t>
  </si>
  <si>
    <t>حساب ضريبة مضافة بنسبة خمسة عشر بالمائة بصافي ثلاثمائة وخمسة وأربعين</t>
  </si>
  <si>
    <t>src/test/java/Invoice/SalesCalculationTest.java:22</t>
  </si>
  <si>
    <t>inclusiveVat</t>
  </si>
  <si>
    <t>استخراج الضريبة من سعر شامل لها دون زيادة الصافي</t>
  </si>
  <si>
    <t>src/test/java/Invoice/SalesCalculationTest.java:23</t>
  </si>
  <si>
    <t>percentageDiscountBeforeExclusiveVat</t>
  </si>
  <si>
    <t>تطبيق خصم عشرة بالمائة قبل حساب الضريبة المضافة</t>
  </si>
  <si>
    <t>src/test/java/Invoice/SalesCalculationTest.java:24</t>
  </si>
  <si>
    <t>fixedDiscountWithInclusiveVat</t>
  </si>
  <si>
    <t>تطبيق خصم بالقيمة على سعر شامل الضريبة</t>
  </si>
  <si>
    <t>src/test/java/Invoice/SalesCalculationTest.java:25</t>
  </si>
  <si>
    <t>fixedDiscountWithoutVat</t>
  </si>
  <si>
    <t>حساب خصم بالقيمة على كمية كسرية دون ضريبة</t>
  </si>
  <si>
    <t>src/test/java/Invoice/SalesCalculationTest.java:26</t>
  </si>
  <si>
    <t>fullPercentageDiscount</t>
  </si>
  <si>
    <t>خصم كامل بالنسبة يجعل الوعاء والضريبة والصافي صفراً</t>
  </si>
  <si>
    <t>src/test/java/Invoice/SalesCalculationTest.java:27</t>
  </si>
  <si>
    <t>fullFixedDiscount</t>
  </si>
  <si>
    <t>خصم كامل بالقيمة يجعل الوعاء والضريبة والصافي صفراً</t>
  </si>
  <si>
    <t>src/test/java/Invoice/SalesCalculationTest.java:28</t>
  </si>
  <si>
    <t>fractionalQuantityAndRounding</t>
  </si>
  <si>
    <t>تقريب الكمية الكسرية والسعر والضريبة إلى منزلتين</t>
  </si>
  <si>
    <t>src/test/java/Invoice/SalesCalculationTest.java:29</t>
  </si>
  <si>
    <t>aggregateTaxRounding</t>
  </si>
  <si>
    <t>تقريب ضريبة مجموع البنود الصغيرة بدلاً من تضخيمها</t>
  </si>
  <si>
    <t>src/test/java/Invoice/SalesCalculationTest.java:30</t>
  </si>
  <si>
    <t>threeDecimalInclusiveRounding</t>
  </si>
  <si>
    <t>تقريب السعر الشامل للضريبة إلى ثلاث منازل عشرية</t>
  </si>
  <si>
    <t>src/test/java/Invoice/SalesCalculationTest.java:31</t>
  </si>
  <si>
    <t>emptyCalculationIsZero</t>
  </si>
  <si>
    <t>الحساب بدون بنود يعيد جميع الإجماليات صفراً</t>
  </si>
  <si>
    <t>src/test/java/Invoice/SalesCalculationTest.java:32</t>
  </si>
  <si>
    <t>SalesCleanupTest</t>
  </si>
  <si>
    <t>customerLookupErrorCannotDeleteAnExistingCustomerOrItsAccounts</t>
  </si>
  <si>
    <t>فشل قراءة العميل لا يبرر حذف عميل موجود أو حساباته</t>
  </si>
  <si>
    <t>src/test/java/Invoice/SalesCleanupTest.java:16</t>
  </si>
  <si>
    <t>recoversLostAccountFromItsTreeWithoutDeletingExistingAccounts</t>
  </si>
  <si>
    <t>استعادة حساب ضاعت استجابته من شجرة الحسابات دون حذف حسابات أخرى</t>
  </si>
  <si>
    <t>src/test/java/Invoice/SalesCleanupTest.java:22</t>
  </si>
  <si>
    <t>waitsForOriginalBranchHydrationBeforeFixtureAccess</t>
  </si>
  <si>
    <t>انتظار تحميل الفرع الأصلي قبل الوصول إلى بيانات الاختبار</t>
  </si>
  <si>
    <t>src/test/java/Invoice/SalesCleanupTest.java:30</t>
  </si>
  <si>
    <t>pageFixturesAreSharedButCaseBalancesStayIsolated</t>
  </si>
  <si>
    <t>مشاركة بيانات الصفحة الثابتة مع عزل الأصناف والعملاء والأرصدة بين الحالات</t>
  </si>
  <si>
    <t>src/test/java/Invoice/SalesCleanupTest.java:34</t>
  </si>
  <si>
    <t>pageTransitionRetainsAndRecoversThePreviousFailedSave</t>
  </si>
  <si>
    <t>الانتقال للحالة التالية يحتفظ بمحاولة الحفظ الفاشلة السابقة ويستعيدها</t>
  </si>
  <si>
    <t>src/test/java/Invoice/SalesCleanupTest.java:44</t>
  </si>
  <si>
    <t>negativeSaveDetectsACommitBehindFailedResponse</t>
  </si>
  <si>
    <t>اكتشاف حفظ فعلي خلف استجابة فاشلة في اختبار رفض الحفظ</t>
  </si>
  <si>
    <t>src/test/java/Invoice/SalesCleanupTest.java:53</t>
  </si>
  <si>
    <t>recoversSecondReturnWithoutConfusingKnownFirstReturn</t>
  </si>
  <si>
    <t>استعادة المرتجع الثاني دون الخلط بينه وبين المرتجع الأول المعروف</t>
  </si>
  <si>
    <t>src/test/java/Invoice/SalesCleanupTest.java:61</t>
  </si>
  <si>
    <t>recoversLostResponseForEachSalesDocumentKind</t>
  </si>
  <si>
    <t>استعادة مستند محفوظ ضاعت استجابته لكل نوع من مستندات المبيعات</t>
  </si>
  <si>
    <t>src/test/java/Invoice/SalesCleanupTest.java:70</t>
  </si>
  <si>
    <t>refusesJournalRecoveryInAnotherTenant</t>
  </si>
  <si>
    <t>رفض استعادة سجل التنظيف في تننت تختلف عن تننت إنشاء البيانات</t>
  </si>
  <si>
    <t>src/test/java/Invoice/SalesCleanupTest.java:77</t>
  </si>
  <si>
    <t>refusesJournalRecoveryInAnotherBranch</t>
  </si>
  <si>
    <t>رفض استعادة سجل التنظيف في فرع مختلف</t>
  </si>
  <si>
    <t>src/test/java/Invoice/SalesCleanupTest.java:78</t>
  </si>
  <si>
    <t>linkedReturnIsDeletedBeforeSourceInvoice</t>
  </si>
  <si>
    <t>حذف المرتجع المرتبط قبل الفاتورة الأصلية</t>
  </si>
  <si>
    <t>src/test/java/Invoice/SalesCleanupTest.java:85</t>
  </si>
  <si>
    <t>paidInvoiceIsDeletedBeforePaymentMethodAndBank</t>
  </si>
  <si>
    <t>حذف الفاتورة المدفوعة قبل وسيلة الدفع والبنك</t>
  </si>
  <si>
    <t>src/test/java/Invoice/SalesCleanupTest.java:92</t>
  </si>
  <si>
    <t>deletesOwnedMovementBeforeItsItemsAndStores</t>
  </si>
  <si>
    <t>حذف الحركة المملوكة للاختبار قبل أصنافها ومخازنها</t>
  </si>
  <si>
    <t>src/test/java/Invoice/SalesCleanupTest.java:202</t>
  </si>
  <si>
    <t>recoversStoreCommittedBeforeLostCreateResponse</t>
  </si>
  <si>
    <t>استعادة مخزن حُفظ قبل فقد استجابة الإنشاء</t>
  </si>
  <si>
    <t>src/test/java/Invoice/SalesCleanupTest.java:209</t>
  </si>
  <si>
    <t>uncertainStoreLookupFailurePreservesItsAccounts</t>
  </si>
  <si>
    <t>فشل التأكد من المخزن يحتفظ بحساباته</t>
  </si>
  <si>
    <t>src/test/java/Invoice/SalesCleanupTest.java:216</t>
  </si>
  <si>
    <t>uncertainStoreMustStillReferenceItsOwnedAccount</t>
  </si>
  <si>
    <t>التحقق من استمرار ارتباط المخزن غير المؤكد بحسابه المملوك للاختبار</t>
  </si>
  <si>
    <t>src/test/java/Invoice/SalesCleanupTest.java:222</t>
  </si>
  <si>
    <t>resumesPendingStoreCreationFromDurableJournal</t>
  </si>
  <si>
    <t>استئناف إنشاء مخزن معلق من سجل التنظيف المحفوظ</t>
  </si>
  <si>
    <t>src/test/java/Invoice/SalesCleanupTest.java:228</t>
  </si>
  <si>
    <t>retainsStockDependenciesWhenMovementDeletionFails</t>
  </si>
  <si>
    <t>الاحتفاظ بتبعيات المخزون عند فشل حذف الحركة</t>
  </si>
  <si>
    <t>src/test/java/Invoice/SalesCleanupTest.java:233</t>
  </si>
  <si>
    <t>refusesTrackingUnownedRecord</t>
  </si>
  <si>
    <t>رفض تسجيل سجل غير مملوك للاختبار ضمن بيانات التنظيف</t>
  </si>
  <si>
    <t>src/test/java/Invoice/SalesCleanupTest.java:240</t>
  </si>
  <si>
    <t>checksIdentityBeforeFirstDeletion</t>
  </si>
  <si>
    <t>التحقق من هوية البيانات قبل أول عملية حذف</t>
  </si>
  <si>
    <t>src/test/java/Invoice/SalesCleanupTest.java:244</t>
  </si>
  <si>
    <t>cleansSalesDocumentWithoutNotesUsingOwnedStoreAndItems</t>
  </si>
  <si>
    <t>تنظيف مستند بلا ملاحظات بعد التحقق من ملكية مخزنه وأصنافه</t>
  </si>
  <si>
    <t>src/test/java/Invoice/SalesCleanupTest.java:250</t>
  </si>
  <si>
    <t>rejectsSalesDocumentWithChangedStoreIdentity</t>
  </si>
  <si>
    <t>رفض حذف مستند تغيرت هوية مخزنه</t>
  </si>
  <si>
    <t>src/test/java/Invoice/SalesCleanupTest.java:256</t>
  </si>
  <si>
    <t>rejectsSalesDocumentWithChangedItemIdentity</t>
  </si>
  <si>
    <t>رفض حذف مستند تغيرت هوية صنفه</t>
  </si>
  <si>
    <t>src/test/java/Invoice/SalesCleanupTest.java:257</t>
  </si>
  <si>
    <t>recoversWarehouseCreateCommittedBeforeLostResponse</t>
  </si>
  <si>
    <t>استعادة إذن مخزني حُفظ قبل فقد استجابة الإنشاء</t>
  </si>
  <si>
    <t>src/test/java/Invoice/SalesCleanupTest.java:266</t>
  </si>
  <si>
    <t>uncertainWarehouseLookupFailureRetainsAllParents</t>
  </si>
  <si>
    <t>فشل البحث عن إذن مخزني يحتفظ بجميع تبعياته</t>
  </si>
  <si>
    <t>src/test/java/Invoice/SalesCleanupTest.java:273</t>
  </si>
  <si>
    <t>recoversUpdatedNoteAfterLostUpdateResponse</t>
  </si>
  <si>
    <t>استعادة الملاحظات المعدلة بعد فقد استجابة التعديل</t>
  </si>
  <si>
    <t>src/test/java/Invoice/SalesCleanupTest.java:280</t>
  </si>
  <si>
    <t>قبول استجابة عدم وجود السجل عند الحذف بعد تأكيد غيابه بالقراءة</t>
  </si>
  <si>
    <t>src/test/java/Invoice/SalesCleanupTest.java:288</t>
  </si>
  <si>
    <t>rejectsMissingDeleteWhenOwnedRecordStillExists</t>
  </si>
  <si>
    <t>رفض اعتبار السجل محذوفاً عندما تؤكد القراءة وجوده</t>
  </si>
  <si>
    <t>src/test/java/Invoice/SalesCleanupTest.java:295</t>
  </si>
  <si>
    <t>recoversUiItemCommittedBeforeFailedResponse</t>
  </si>
  <si>
    <t>استعادة صنف أُنشئ من الواجهة رغم فشل الاستجابة</t>
  </si>
  <si>
    <t>src/test/java/Invoice/SalesCleanupTest.java:301</t>
  </si>
  <si>
    <t>recoversInvalidItemByUniqueEnglishMarker</t>
  </si>
  <si>
    <t>استعادة صنف غير صالح بعلامة الاختبار الإنجليزية الفريدة</t>
  </si>
  <si>
    <t>src/test/java/Invoice/SalesCleanupTest.java:311</t>
  </si>
  <si>
    <t>removesOnlyOwnedBranchMembershipAndPreservesConcurrentChanges</t>
  </si>
  <si>
    <t>إزالة ارتباط الفرع الخاص بالاختبار فقط مع حفظ التغييرات المتزامنة</t>
  </si>
  <si>
    <t>src/test/java/Invoice/SalesCleanupTest.java:320</t>
  </si>
  <si>
    <t>retainsStoreAndAccountsWhenOwnedMembershipCannotBeRemoved</t>
  </si>
  <si>
    <t>الاحتفاظ بالمخزن وحساباته عند تعذر إزالة ارتباطه المملوك للاختبار</t>
  </si>
  <si>
    <t>src/test/java/Invoice/SalesCleanupTest.java:329</t>
  </si>
  <si>
    <t>verifiesCommittedBranchUnlinkAfterLostResponse</t>
  </si>
  <si>
    <t>تأكيد فك ارتباط الفرع المنفذ بعد فقد الاستجابة</t>
  </si>
  <si>
    <t>src/test/java/Invoice/SalesCleanupTest.java:334</t>
  </si>
  <si>
    <t>إعادة محاولة الحذف غير المنفذ قبل حذف الحسابات التابعة</t>
  </si>
  <si>
    <t>src/test/java/Invoice/SalesCleanupTest.java:339</t>
  </si>
  <si>
    <t>عدم تكرار الحذف عندما نُفذ الطلب الذي انتهت مهلته</t>
  </si>
  <si>
    <t>src/test/java/Invoice/SalesCleanupTest.java:350</t>
  </si>
  <si>
    <t>قبول قراءة نص فارغ بعد تأكيد تنفيذ الحذف المنتهية مهلته</t>
  </si>
  <si>
    <t>src/test/java/Invoice/SalesCleanupTest.java:359</t>
  </si>
  <si>
    <t>الاحتفاظ بالتبعيات المعطلة وإعادة محاولة تنظيف سجلات الاختبار فقط</t>
  </si>
  <si>
    <t>src/test/java/Invoice/SalesCleanupTest.java:369</t>
  </si>
  <si>
    <t>تنظيف صنف الاختبار الذي حُفظ رغم فشل طلب الإنشاء</t>
  </si>
  <si>
    <t>src/test/java/Invoice/SalesCleanupTest.java:381</t>
  </si>
  <si>
    <t>acceptsVerifiedMissingMovementDefaultDto</t>
  </si>
  <si>
    <t>قبول نموذج حركة افتراضي بعد التحقق من غياب الحركة</t>
  </si>
  <si>
    <t>src/test/java/Invoice/SalesCleanupTest.java:393</t>
  </si>
  <si>
    <t>قبول نموذج بيانات أساسية افتراضي بعد التحقق من غياب السجل</t>
  </si>
  <si>
    <t>src/test/java/Invoice/SalesCleanupTest.java:400</t>
  </si>
  <si>
    <t>updatedRecordDeletesBeforeItsNewReference</t>
  </si>
  <si>
    <t>حذف السجل المعدل قبل المرجع الجديد الذي أصبح مرتبطاً به</t>
  </si>
  <si>
    <t>src/test/java/Invoice/SalesCleanupTest.java:407</t>
  </si>
  <si>
    <t>src/test/java/Invoice/SalesCleanupTest.java:420</t>
  </si>
  <si>
    <t>src/test/java/Invoice/SalesCleanupTest.java:426</t>
  </si>
  <si>
    <t>src/test/java/Invoice/SalesCleanupTest.java:435</t>
  </si>
  <si>
    <t>SalesFormTest</t>
  </si>
  <si>
    <t>savesOwnedItemFromPicker</t>
  </si>
  <si>
    <t>حفظ مستند بصنف الاختبار المختار من قائمة الأصناف</t>
  </si>
  <si>
    <t>src/test/java/Invoice/SalesFormTest.java:6</t>
  </si>
  <si>
    <t>savesOwnedItemByBarcode</t>
  </si>
  <si>
    <t>حفظ مستند بإضافة صنف الاختبار بالباركود</t>
  </si>
  <si>
    <t>src/test/java/Invoice/SalesFormTest.java:7</t>
  </si>
  <si>
    <t>savesOwnedItemByName</t>
  </si>
  <si>
    <t>حفظ مستند بإضافة صنف الاختبار بالاسم</t>
  </si>
  <si>
    <t>src/test/java/Invoice/SalesFormTest.java:8</t>
  </si>
  <si>
    <t>cashDocumentUsesOwnedPayment</t>
  </si>
  <si>
    <t>التحقق من الدفع النقدي ببيانات الاختبار وأثره حسب نوع المستند وعدم تسجيل دفعات لعرض السعر</t>
  </si>
  <si>
    <t>src/test/java/Invoice/SalesFormTest.java:9</t>
  </si>
  <si>
    <t>fractionalQuantityPersists</t>
  </si>
  <si>
    <t>حفظ كمية كسرية والتحقق من بقائها دون تغيير</t>
  </si>
  <si>
    <t>src/test/java/Invoice/SalesFormTest.java:10</t>
  </si>
  <si>
    <t>twoOwnedItemsPersist</t>
  </si>
  <si>
    <t>حفظ صنفين مستقلين والتحقق من بيانات كل بند</t>
  </si>
  <si>
    <t>src/test/java/Invoice/SalesFormTest.java:11</t>
  </si>
  <si>
    <t>removedItemIsNotSaved</t>
  </si>
  <si>
    <t>حذف بند قبل الحفظ والتحقق من عدم تخزينه</t>
  </si>
  <si>
    <t>src/test/java/Invoice/SalesFormTest.java:12</t>
  </si>
  <si>
    <t>percentageDiscountRecalculates</t>
  </si>
  <si>
    <t>إعادة حساب صافي المستند بعد الخصم بالنسبة</t>
  </si>
  <si>
    <t>src/test/java/Invoice/SalesFormTest.java:13</t>
  </si>
  <si>
    <t>fixedDiscountRecalculates</t>
  </si>
  <si>
    <t>إعادة حساب صافي المستند بعد الخصم بالقيمة</t>
  </si>
  <si>
    <t>src/test/java/Invoice/SalesFormTest.java:14</t>
  </si>
  <si>
    <t>unicodeNotesPersist</t>
  </si>
  <si>
    <t>حفظ الملاحظات العربية والإنجليزية واسترجاعها كما هي</t>
  </si>
  <si>
    <t>src/test/java/Invoice/SalesFormTest.java:15</t>
  </si>
  <si>
    <t>emptyDocumentCannotSave</t>
  </si>
  <si>
    <t>منع حفظ مستند بدون أصناف</t>
  </si>
  <si>
    <t>src/test/java/Invoice/SalesFormTest.java:16</t>
  </si>
  <si>
    <t>zeroQuantityCannotSave</t>
  </si>
  <si>
    <t>منع حفظ بند بكمية صفرية</t>
  </si>
  <si>
    <t>src/test/java/Invoice/SalesFormTest.java:17</t>
  </si>
  <si>
    <t>negativeQuantityCannotSave</t>
  </si>
  <si>
    <t>منع حفظ بند بكمية سالبة</t>
  </si>
  <si>
    <t>src/test/java/Invoice/SalesFormTest.java:18</t>
  </si>
  <si>
    <t>missingCustomerCannotSave</t>
  </si>
  <si>
    <t>منع الحفظ بدون اختيار العميل</t>
  </si>
  <si>
    <t>src/test/java/Invoice/SalesFormTest.java:19</t>
  </si>
  <si>
    <t>missingStoreCannotSave</t>
  </si>
  <si>
    <t>منع الحفظ بدون اختيار المخزن</t>
  </si>
  <si>
    <t>src/test/java/Invoice/SalesFormTest.java:20</t>
  </si>
  <si>
    <t>negativePriceCannotSave</t>
  </si>
  <si>
    <t>منع الحفظ بسعر سالب</t>
  </si>
  <si>
    <t>src/test/java/Invoice/SalesFormTest.java:21</t>
  </si>
  <si>
    <t>notesRespectMaximumLength</t>
  </si>
  <si>
    <t>التحقق من الحد الأقصى لطول الملاحظات</t>
  </si>
  <si>
    <t>src/test/java/Invoice/SalesFormTest.java:22</t>
  </si>
  <si>
    <t>newClearsUnsavedLines</t>
  </si>
  <si>
    <t>زر جديد يمسح البنود غير المحفوظة</t>
  </si>
  <si>
    <t>src/test/java/Invoice/SalesFormTest.java:23</t>
  </si>
  <si>
    <t>savedDocumentDeletePolicy</t>
  </si>
  <si>
    <t>منع حذف فاتورة البيع والسماح بحذف مستندات المبيعات الأخرى مع عكس الأثر</t>
  </si>
  <si>
    <t>src/test/java/Invoice/SalesFormTest.java:24</t>
  </si>
  <si>
    <t>savedDocumentReopensWithOwnedValues</t>
  </si>
  <si>
    <t>إعادة فتح المستند المحفوظ والتحقق من بيانات الاختبار</t>
  </si>
  <si>
    <t>src/test/java/Invoice/SalesFormTest.java:25</t>
  </si>
  <si>
    <t>savedDocumentEditPolicy</t>
  </si>
  <si>
    <t>منع تعديل فاتورة البيع والسماح بتعديل مستندات المبيعات الأخرى</t>
  </si>
  <si>
    <t>src/test/java/Invoice/SalesFormTest.java:26</t>
  </si>
  <si>
    <t>SalesInvoiceCoverageTest</t>
  </si>
  <si>
    <t>ownedPriceListIsApplied</t>
  </si>
  <si>
    <t>تطبيق قائمة أسعار أنشأها الاختبار على فاتورة البيع</t>
  </si>
  <si>
    <t>src/test/java/Invoice/SalesInvoiceCoverageTest.java:5</t>
  </si>
  <si>
    <t>barcodeApiFallbackAddsOwnedItemAbsentFromCache</t>
  </si>
  <si>
    <t>إضافة صنف جديد بالباركود عبر البحث في الخادم عند غيابه عن الذاكرة المحلية</t>
  </si>
  <si>
    <t>src/test/java/Invoice/SalesInvoiceCoverageTest.java:6</t>
  </si>
  <si>
    <t>savesAndPrintsOwnedInvoice</t>
  </si>
  <si>
    <t>حفظ فاتورة الاختبار وفتح طباعتها</t>
  </si>
  <si>
    <t>src/test/java/Invoice/SalesInvoiceCoverageTest.java:8</t>
  </si>
  <si>
    <t>SalesInvoiceTestCases</t>
  </si>
  <si>
    <t>TC_SI_001_CreateCompleteSalesInvoice</t>
  </si>
  <si>
    <t>إنشاء فاتورة بيع نقدية مكتملة وفتح طباعتها</t>
  </si>
  <si>
    <t>src/test/java/Invoice/SalesInvoiceTestCases.java:8</t>
  </si>
  <si>
    <t>TC_SI_011_AddItemByBarcode</t>
  </si>
  <si>
    <t>إضافة صنف الاختبار إلى الفاتورة بالباركود وحفظه</t>
  </si>
  <si>
    <t>src/test/java/Invoice/SalesInvoiceTestCases.java:9</t>
  </si>
  <si>
    <t>TC_SI_012_AddItemByArabicName</t>
  </si>
  <si>
    <t>إضافة صنف الاختبار بالاسم العربي وحفظه</t>
  </si>
  <si>
    <t>src/test/java/Invoice/SalesInvoiceTestCases.java:10</t>
  </si>
  <si>
    <t>TC_SI_013_AddItemsFromDialog</t>
  </si>
  <si>
    <t>إضافة صنف الاختبار من نافذة الأصناف وحفظه</t>
  </si>
  <si>
    <t>src/test/java/Invoice/SalesInvoiceTestCases.java:11</t>
  </si>
  <si>
    <t>TC_SI_014_FilterItemsByCategory</t>
  </si>
  <si>
    <t>فلترة نافذة الأصناف بتصنيف أنشأه الاختبار</t>
  </si>
  <si>
    <t>src/test/java/Invoice/SalesInvoiceTestCases.java:12</t>
  </si>
  <si>
    <t>TC_SI_015_SearchByBarcodeInAddItemsDialog</t>
  </si>
  <si>
    <t>البحث بباركود صنف الاختبار داخل نافذة الأصناف</t>
  </si>
  <si>
    <t>src/test/java/Invoice/SalesInvoiceTestCases.java:13</t>
  </si>
  <si>
    <t>TC_SI_016_SearchByArabicNameInAddItemsDialog</t>
  </si>
  <si>
    <t>البحث بالاسم العربي لصنف الاختبار داخل نافذة الأصناف</t>
  </si>
  <si>
    <t>src/test/java/Invoice/SalesInvoiceTestCases.java:14</t>
  </si>
  <si>
    <t>TC_SI_021_ToggleInvoiceFullscreen</t>
  </si>
  <si>
    <t>تبديل ملء الشاشة مع الحفاظ على العميل المختار</t>
  </si>
  <si>
    <t>src/test/java/Invoice/SalesInvoiceTestCases.java:16</t>
  </si>
  <si>
    <t>TC_SI_005_WarehouseOptionsAreAvailable</t>
  </si>
  <si>
    <t>اختيار المخزن الذي أنشأه الاختبار</t>
  </si>
  <si>
    <t>src/test/java/Invoice/SalesInvoiceTestCases.java:17</t>
  </si>
  <si>
    <t>TC_SI_004_DefaultPaymentTypeIsCash</t>
  </si>
  <si>
    <t>نوع الدفع الافتراضي في الفاتورة الجديدة نقدي</t>
  </si>
  <si>
    <t>src/test/java/Invoice/SalesInvoiceTestCases.java:18</t>
  </si>
  <si>
    <t>TC_SI_007_CustomerOptionsAreAvailable</t>
  </si>
  <si>
    <t>اختيار العميل الذي أنشأه الاختبار</t>
  </si>
  <si>
    <t>src/test/java/Invoice/SalesInvoiceTestCases.java:19</t>
  </si>
  <si>
    <t>TC_SI_008_SalesAgentOptionsAreAvailable</t>
  </si>
  <si>
    <t>اختيار المندوب الذي أنشأه الاختبار</t>
  </si>
  <si>
    <t>src/test/java/Invoice/SalesInvoiceTestCases.java:20</t>
  </si>
  <si>
    <t>TC_SI_010_PriceListOptionsAreAvailable</t>
  </si>
  <si>
    <t>اختيار قائمة أسعار الاختبار وتطبيق سعرها</t>
  </si>
  <si>
    <t>src/test/java/Invoice/SalesInvoiceTestCases.java:21</t>
  </si>
  <si>
    <t>TC_SI_020_CreateCreditSalesInvoice</t>
  </si>
  <si>
    <t>إنشاء فاتورة بيع آجلة والتحقق من بياناتها وأثرها</t>
  </si>
  <si>
    <t>src/test/java/Invoice/SalesInvoiceTestCases.java:22</t>
  </si>
  <si>
    <t>TC_SI_025_InvoiceWithPercentageDiscount</t>
  </si>
  <si>
    <t>حساب خصم الفاتورة بالنسبة</t>
  </si>
  <si>
    <t>src/test/java/Invoice/SalesInvoiceTestCases.java:23</t>
  </si>
  <si>
    <t>TC_SI_026_InvoiceWithFixedDiscount</t>
  </si>
  <si>
    <t>حساب خصم الفاتورة بالقيمة</t>
  </si>
  <si>
    <t>src/test/java/Invoice/SalesInvoiceTestCases.java:24</t>
  </si>
  <si>
    <t>TC_SI_028_EnterInvoiceComment</t>
  </si>
  <si>
    <t>حفظ ملاحظات الفاتورة العربية والإنجليزية</t>
  </si>
  <si>
    <t>src/test/java/Invoice/SalesInvoiceTestCases.java:25</t>
  </si>
  <si>
    <t>TC_SI_029_NewInvoiceResetsCurrentInvoice</t>
  </si>
  <si>
    <t>زر جديد يمسح بنود الفاتورة غير المحفوظة</t>
  </si>
  <si>
    <t>src/test/java/Invoice/SalesInvoiceTestCases.java:26</t>
  </si>
  <si>
    <t>src/test/java/Invoice/SalesInvoiceTestCases.java:27</t>
  </si>
  <si>
    <t>src/test/java/Invoice/SalesInvoiceTestCases.java:28</t>
  </si>
  <si>
    <t>src/test/java/Invoice/SalesInvoiceTestCases.java:29</t>
  </si>
  <si>
    <t>src/test/java/Invoice/SalesInvoiceTestCases.java:30</t>
  </si>
  <si>
    <t>src/test/java/Invoice/SalesInvoiceTestCases.java:31</t>
  </si>
  <si>
    <t>src/test/java/Invoice/SalesInvoiceTestCases.java:32</t>
  </si>
  <si>
    <t>SalesListCoverageTest</t>
  </si>
  <si>
    <t>ownCustomerFilterReturnsOnlyOwnDocuments</t>
  </si>
  <si>
    <t>فلتر العميل يعرض مستندات عميل الاختبار فقط</t>
  </si>
  <si>
    <t>src/test/java/Invoice/SalesListCoverageTest.java:7</t>
  </si>
  <si>
    <t>exactCodeFilterFindsOwnedDocument</t>
  </si>
  <si>
    <t>البحث بالكود الكامل يعرض مستند الاختبار المطابق</t>
  </si>
  <si>
    <t>src/test/java/Invoice/SalesListCoverageTest.java:8</t>
  </si>
  <si>
    <t>notesFilterFindsOwnedDocument</t>
  </si>
  <si>
    <t>البحث بالملاحظات يعرض مستند الاختبار المطابق</t>
  </si>
  <si>
    <t>src/test/java/Invoice/SalesListCoverageTest.java:9</t>
  </si>
  <si>
    <t>unmatchedCodeShowsNoOwnDocuments</t>
  </si>
  <si>
    <t>البحث بكود غير موجود يعرض قائمة فارغة</t>
  </si>
  <si>
    <t>src/test/java/Invoice/SalesListCoverageTest.java:10</t>
  </si>
  <si>
    <t>pageSizeKeepsOwnedResults</t>
  </si>
  <si>
    <t>تغيير حجم الصفحة يحافظ على نتائج الاختبار لكل حجم مدعوم</t>
  </si>
  <si>
    <t>src/test/java/Invoice/SalesListCoverageTest.java:11</t>
  </si>
  <si>
    <t>paginationHasNoDuplicatesAndReturnsToFirst</t>
  </si>
  <si>
    <t>التنقل بين الصفحات دون تكرار السجلات والعودة للصفحة الأولى</t>
  </si>
  <si>
    <t>src/test/java/Invoice/SalesListCoverageTest.java:12</t>
  </si>
  <si>
    <t>sortingCodeKeepsOwnedRecords</t>
  </si>
  <si>
    <t>ترتيب الكود يحافظ على مستندات الاختبار</t>
  </si>
  <si>
    <t>src/test/java/Invoice/SalesListCoverageTest.java:13</t>
  </si>
  <si>
    <t>clearingCodeRestoresOwnCustomerScope</t>
  </si>
  <si>
    <t>مسح فلتر الكود يعيد جميع مستندات عميل الاختبار</t>
  </si>
  <si>
    <t>src/test/java/Invoice/SalesListCoverageTest.java:14</t>
  </si>
  <si>
    <t>exportsOwnFilteredListToExcel</t>
  </si>
  <si>
    <t>تصدير النتائج المفلترة إلى ملف Excel فعلي</t>
  </si>
  <si>
    <t>src/test/java/Invoice/SalesListCoverageTest.java:15</t>
  </si>
  <si>
    <t>exportsOwnFilteredListToPdf</t>
  </si>
  <si>
    <t>تصدير النتائج المفلترة إلى ملف PDF فعلي</t>
  </si>
  <si>
    <t>src/test/java/Invoice/SalesListCoverageTest.java:16</t>
  </si>
  <si>
    <t>ownedAgentFilterKeepsOnlyOwnDocuments</t>
  </si>
  <si>
    <t>فلتر المندوب يعرض مستندات مندوب الاختبار فقط</t>
  </si>
  <si>
    <t>src/test/java/Invoice/SalesListCoverageTest.java:17</t>
  </si>
  <si>
    <t>paymentStatusesMatchOwnedAmounts</t>
  </si>
  <si>
    <t>فلاتر حالة الدفع تطابق المستندات المدفوعة والجزئية وغير المدفوعة</t>
  </si>
  <si>
    <t>src/test/java/Invoice/SalesListCoverageTest.java:18</t>
  </si>
  <si>
    <t>documentTypeFilterSeparatesOwnedSalesDocuments</t>
  </si>
  <si>
    <t>فلتر نوع المستند يفصل أنواع مستندات المبيعات</t>
  </si>
  <si>
    <t>src/test/java/Invoice/SalesListCoverageTest.java:19</t>
  </si>
  <si>
    <t>singleDayDateRangeKeepsOwnDocuments</t>
  </si>
  <si>
    <t>فلتر تاريخ يوم واحد يعرض مستندات الاختبار في هذا اليوم</t>
  </si>
  <si>
    <t>src/test/java/Invoice/SalesListCoverageTest.java:20</t>
  </si>
  <si>
    <t>dateRangeWithoutOwnRecordsClearsStaleRows</t>
  </si>
  <si>
    <t>نطاق تاريخ بلا مستندات يمسح النتائج السابقة</t>
  </si>
  <si>
    <t>src/test/java/Invoice/SalesListCoverageTest.java:21</t>
  </si>
  <si>
    <t>SalesOrderTest</t>
  </si>
  <si>
    <t>تطبيق قائمة أسعار أنشأها الاختبار على أمر البيع</t>
  </si>
  <si>
    <t>src/test/java/Invoice/SalesOrderTest.java:5</t>
  </si>
  <si>
    <t>creditOrderDoesNotChangeCustomerBalance</t>
  </si>
  <si>
    <t>أمر البيع الآجل لا يغير المخزون ولا رصيد العميل</t>
  </si>
  <si>
    <t>src/test/java/Invoice/SalesOrderTest.java:7</t>
  </si>
  <si>
    <t>cashOrderRecordsCustomerAdvanceWithoutStockMovement</t>
  </si>
  <si>
    <t>أمر البيع النقدي يسجل دفعة مقدمة للعميل دون تغيير المخزون</t>
  </si>
  <si>
    <t>src/test/java/Invoice/SalesOrderTest.java:8</t>
  </si>
  <si>
    <t>AreaTest</t>
  </si>
  <si>
    <t>AR_001_AreaListStructureIsDisplayed</t>
  </si>
  <si>
    <t>AR-001 عرض بنية قائمة المناطق</t>
  </si>
  <si>
    <t>src/test/java/Plugin_ERP/Tests/LoginTest/BasicDataTest/AreaTest.java:57</t>
  </si>
  <si>
    <t>AR_002_AreaCreationFormControlsAreDisplayed</t>
  </si>
  <si>
    <t>AR-002 فتح نموذج إضافة منطقة</t>
  </si>
  <si>
    <t>src/test/java/Plugin_ERP/Tests/LoginTest/BasicDataTest/AreaTest.java:71</t>
  </si>
  <si>
    <t>AR_014_CloseCreationFormWithoutSaving</t>
  </si>
  <si>
    <t>AR-014 إغلاق نموذج الإضافة دون حفظ</t>
  </si>
  <si>
    <t>src/test/java/Plugin_ERP/Tests/LoginTest/BasicDataTest/AreaTest.java:87</t>
  </si>
  <si>
    <t>AR_020_EditFormLoadsCurrentAreaValues</t>
  </si>
  <si>
    <t>AR-020 تحميل بيانات المنطقة الحالية عند التعديل</t>
  </si>
  <si>
    <t>src/test/java/Plugin_ERP/Tests/LoginTest/BasicDataTest/AreaTest.java:105</t>
  </si>
  <si>
    <t>AR_022_CancelAreaEditWithoutSaving</t>
  </si>
  <si>
    <t>AR-022 إلغاء التعديل دون حفظ</t>
  </si>
  <si>
    <t>src/test/java/Plugin_ERP/Tests/LoginTest/BasicDataTest/AreaTest.java:123</t>
  </si>
  <si>
    <t>AR_004_ArabicNameIsRequired</t>
  </si>
  <si>
    <t>AR-004 الاسم العربي إلزامي</t>
  </si>
  <si>
    <t>src/test/java/Plugin_ERP/Tests/LoginTest/BasicDataTest/AreaTest.java:141</t>
  </si>
  <si>
    <t>AR_005_WhitespaceNameIsRejected</t>
  </si>
  <si>
    <t>AR-005 رفض الاسم العربي المكوّن من مسافات</t>
  </si>
  <si>
    <t>src/test/java/Plugin_ERP/Tests/LoginTest/BasicDataTest/AreaTest.java:159</t>
  </si>
  <si>
    <t>AR_013_CorrectArabicNameAfterValidationError</t>
  </si>
  <si>
    <t>AR-013 تصحيح الاسم بعد ظهور رسالة الإلزامية</t>
  </si>
  <si>
    <t>src/test/java/Plugin_ERP/Tests/LoginTest/BasicDataTest/AreaTest.java:177</t>
  </si>
  <si>
    <t>AR_003_CreateValidAreaAndVerifyFields</t>
  </si>
  <si>
    <t>AR-003 إنشاء منطقة والتحقق من بياناتها</t>
  </si>
  <si>
    <t>src/test/java/Plugin_ERP/Tests/LoginTest/BasicDataTest/AreaTest.java:208</t>
  </si>
  <si>
    <t>AR_007_OptionalFieldsCanBeEmpty</t>
  </si>
  <si>
    <t>AR-007 الحقول الاختيارية عند حفظ المنطقة</t>
  </si>
  <si>
    <t>src/test/java/Plugin_ERP/Tests/LoginTest/BasicDataTest/AreaTest.java:234</t>
  </si>
  <si>
    <t>AR_015_SearchAreasByCodeAndName</t>
  </si>
  <si>
    <t>AR-015/016/018/019 البحث في قائمة المناطق</t>
  </si>
  <si>
    <t>src/test/java/Plugin_ERP/Tests/LoginTest/BasicDataTest/AreaTest.java:261</t>
  </si>
  <si>
    <t>AR_017_SearchUsesOnlyDisplayedAreaFields</t>
  </si>
  <si>
    <t>AR-017 البحث يطابق أعمدة القائمة المعروضة فقط</t>
  </si>
  <si>
    <t>src/test/java/Plugin_ERP/Tests/LoginTest/BasicDataTest/AreaTest.java:287</t>
  </si>
  <si>
    <t>AR_028_AreaListCanBeSortedByCode</t>
  </si>
  <si>
    <t>AR-028 ترتيب قائمة المناطق حسب الكود</t>
  </si>
  <si>
    <t>src/test/java/Plugin_ERP/Tests/LoginTest/BasicDataTest/AreaTest.java:321</t>
  </si>
  <si>
    <t>AR_029_ChangingPageSizeUpdatesVisibleRows</t>
  </si>
  <si>
    <t>AR-029 تغيير عدد الصفوف المعروضة</t>
  </si>
  <si>
    <t>src/test/java/Plugin_ERP/Tests/LoginTest/BasicDataTest/AreaTest.java:344</t>
  </si>
  <si>
    <t>AR_030_NavigateAreaPagesWhenAvailable</t>
  </si>
  <si>
    <t>AR-030 التنقل بين صفحات المناطق</t>
  </si>
  <si>
    <t>src/test/java/Plugin_ERP/Tests/LoginTest/BasicDataTest/AreaTest.java:360</t>
  </si>
  <si>
    <t>AR_012_RapidDoubleSaveCreatesSingleArea</t>
  </si>
  <si>
    <t>AR-012 منع إنشاء سجل مكرر عند الحفظ مرتين</t>
  </si>
  <si>
    <t>src/test/java/Plugin_ERP/Tests/LoginTest/BasicDataTest/AreaTest.java:381</t>
  </si>
  <si>
    <t>AR_021_EditOwnedAreaAndSave</t>
  </si>
  <si>
    <t>AR-021 تعديل منطقة الاختبار وحفظ التغيير</t>
  </si>
  <si>
    <t>src/test/java/Plugin_ERP/Tests/LoginTest/BasicDataTest/AreaTest.java:403</t>
  </si>
  <si>
    <t>AR_023_DeleteOnlyOwnedArea</t>
  </si>
  <si>
    <t>AR-023 حذف منطقة الاختبار المحددة</t>
  </si>
  <si>
    <t>src/test/java/Plugin_ERP/Tests/LoginTest/BasicDataTest/AreaTest.java:426</t>
  </si>
  <si>
    <t>AR_024_CancelDeleteOfOwnedArea</t>
  </si>
  <si>
    <t>AR-024 إلغاء حذف منطقة الاختبار</t>
  </si>
  <si>
    <t>src/test/java/Plugin_ERP/Tests/LoginTest/BasicDataTest/AreaTest.java:451</t>
  </si>
  <si>
    <t>AR_032_AreaPersistsAfterBrowserRefresh</t>
  </si>
  <si>
    <t>AR-032 استمرار المنطقة بعد تحديث المتصفح</t>
  </si>
  <si>
    <t>src/test/java/Plugin_ERP/Tests/LoginTest/BasicDataTest/AreaTest.java:473</t>
  </si>
  <si>
    <t>AR_035_ReopeningAreaListDoesNotDuplicateRecord</t>
  </si>
  <si>
    <t>AR-035 عدم تكرار المنطقة بعد إعادة فتح القائمة</t>
  </si>
  <si>
    <t>src/test/java/Plugin_ERP/Tests/LoginTest/BasicDataTest/AreaTest.java:494</t>
  </si>
  <si>
    <t>BankTest</t>
  </si>
  <si>
    <t>BK_001_BankListStructureIsDisplayed</t>
  </si>
  <si>
    <t>BK-001 بنية قائمة البنوك</t>
  </si>
  <si>
    <t>src/test/java/Plugin_ERP/Tests/LoginTest/BasicDataTest/BankTest.java:53</t>
  </si>
  <si>
    <t>BK_002_BankFormControlsAreDisplayed</t>
  </si>
  <si>
    <t>BK-002 حقول نموذج البنك</t>
  </si>
  <si>
    <t>src/test/java/Plugin_ERP/Tests/LoginTest/BasicDataTest/BankTest.java:66</t>
  </si>
  <si>
    <t>BK_014_CloseFormWithoutSaving</t>
  </si>
  <si>
    <t>BK-014 إغلاق نموذج الإضافة دون حفظ</t>
  </si>
  <si>
    <t>src/test/java/Plugin_ERP/Tests/LoginTest/BasicDataTest/BankTest.java:82</t>
  </si>
  <si>
    <t>BK_020_EditFormLoadsValues</t>
  </si>
  <si>
    <t>BK-020 تحميل بيانات البنك عند التعديل</t>
  </si>
  <si>
    <t>src/test/java/Plugin_ERP/Tests/LoginTest/BasicDataTest/BankTest.java:97</t>
  </si>
  <si>
    <t>BK_022_CancelEditDoesNotChangeBank</t>
  </si>
  <si>
    <t>BK-022 إلغاء تعديل البنك</t>
  </si>
  <si>
    <t>src/test/java/Plugin_ERP/Tests/LoginTest/BasicDataTest/BankTest.java:114</t>
  </si>
  <si>
    <t>BK_004_ArabicNameIsRequired</t>
  </si>
  <si>
    <t>BK-004 الاسم العربي إلزامي</t>
  </si>
  <si>
    <t>src/test/java/Plugin_ERP/Tests/LoginTest/BasicDataTest/BankTest.java:132</t>
  </si>
  <si>
    <t>BK_005_WhitespaceNameIsRejected</t>
  </si>
  <si>
    <t>BK-005 رفض الاسم المكون من مسافات</t>
  </si>
  <si>
    <t>src/test/java/Plugin_ERP/Tests/LoginTest/BasicDataTest/BankTest.java:149</t>
  </si>
  <si>
    <t>BK_008_InvalidEmailIsRejected</t>
  </si>
  <si>
    <t>BK-008 صيغة البريد الإلكتروني</t>
  </si>
  <si>
    <t>src/test/java/Plugin_ERP/Tests/LoginTest/BasicDataTest/BankTest.java:167</t>
  </si>
  <si>
    <t>BK_003_CreateBankAndVerifySavedFields</t>
  </si>
  <si>
    <t>BK-003 إنشاء بنك والتحقق من الحقول</t>
  </si>
  <si>
    <t>src/test/java/Plugin_ERP/Tests/LoginTest/BasicDataTest/BankTest.java:187</t>
  </si>
  <si>
    <t>BK_007_OptionalFieldsCanBeEmpty</t>
  </si>
  <si>
    <t>BK-007 الحقول الاختيارية</t>
  </si>
  <si>
    <t>src/test/java/Plugin_ERP/Tests/LoginTest/BasicDataTest/BankTest.java:226</t>
  </si>
  <si>
    <t>BK_021_EditOwnedBank</t>
  </si>
  <si>
    <t>BK-021 تعديل بنك مملوك للاختبار</t>
  </si>
  <si>
    <t>src/test/java/Plugin_ERP/Tests/LoginTest/BasicDataTest/BankTest.java:254</t>
  </si>
  <si>
    <t>BK_023_DeleteOwnedBank</t>
  </si>
  <si>
    <t>BK-023 حذف سجل البنك المملوك</t>
  </si>
  <si>
    <t>src/test/java/Plugin_ERP/Tests/LoginTest/BasicDataTest/BankTest.java:276</t>
  </si>
  <si>
    <t>BK_024_CancelDeleteRetainsBank</t>
  </si>
  <si>
    <t>BK-024 إلغاء حذف البنك</t>
  </si>
  <si>
    <t>src/test/java/Plugin_ERP/Tests/LoginTest/BasicDataTest/BankTest.java:297</t>
  </si>
  <si>
    <t>BK_032_BankPersistsAfterRefresh</t>
  </si>
  <si>
    <t>BK-032 استمرار البنك بعد تحديث الصفحة</t>
  </si>
  <si>
    <t>src/test/java/Plugin_ERP/Tests/LoginTest/BasicDataTest/BankTest.java:318</t>
  </si>
  <si>
    <t>CashTest</t>
  </si>
  <si>
    <t>WH_001_SafeListStructureIsDisplayed</t>
  </si>
  <si>
    <t>WH-001 فتح شاشة الخزن وعرض القائمة</t>
  </si>
  <si>
    <t>src/test/java/Plugin_ERP/Tests/LoginTest/BasicDataTest/CashTest.java:26</t>
  </si>
  <si>
    <t>WH_002_CashCreationFormControlsAreDisplayed</t>
  </si>
  <si>
    <t>WH-002 فتح نافذة إضافة خزنة</t>
  </si>
  <si>
    <t>src/test/java/Plugin_ERP/Tests/LoginTest/BasicDataTest/CashTest.java:43</t>
  </si>
  <si>
    <t>WH_014_CloseCreationFormWithoutSaving</t>
  </si>
  <si>
    <t>WH-014 إغلاق نافذة الإضافة دون حفظ</t>
  </si>
  <si>
    <t>src/test/java/Plugin_ERP/Tests/LoginTest/BasicDataTest/CashTest.java:63</t>
  </si>
  <si>
    <t>WH_020_EditFormLoadsCurrentSafeName</t>
  </si>
  <si>
    <t>WH-020 فتح سجل للتعديل مع تحميل البيانات الحالية</t>
  </si>
  <si>
    <t>src/test/java/Plugin_ERP/Tests/LoginTest/BasicDataTest/CashTest.java:88</t>
  </si>
  <si>
    <t>WH_022_CancelSafeEditWithoutSaving</t>
  </si>
  <si>
    <t>WH-022 إلغاء التعديل دون حفظ</t>
  </si>
  <si>
    <t>src/test/java/Plugin_ERP/Tests/LoginTest/BasicDataTest/CashTest.java:121</t>
  </si>
  <si>
    <t>ValidCashTest</t>
  </si>
  <si>
    <t>إضافة خزنة ببيانات صحيحة</t>
  </si>
  <si>
    <t>src/test/java/Plugin_ERP/Tests/LoginTest/BasicDataTest/CashTest.java:148</t>
  </si>
  <si>
    <t>EditCash</t>
  </si>
  <si>
    <t>تعديل خزنة ببيانات صحيحة</t>
  </si>
  <si>
    <t>src/test/java/Plugin_ERP/Tests/LoginTest/BasicDataTest/CashTest.java:170</t>
  </si>
  <si>
    <t>DeleteCash</t>
  </si>
  <si>
    <t>حذف خزنة</t>
  </si>
  <si>
    <t>src/test/java/Plugin_ERP/Tests/LoginTest/BasicDataTest/CashTest.java:187</t>
  </si>
  <si>
    <t>InvalidCashTest</t>
  </si>
  <si>
    <t>WH-004 التحقق من إلزامية الاسم العربي</t>
  </si>
  <si>
    <t>src/test/java/Plugin_ERP/Tests/LoginTest/BasicDataTest/CashTest.java:201</t>
  </si>
  <si>
    <t>EmptyCashFormIsRejected</t>
  </si>
  <si>
    <t>WH-006 محاولة الحفظ مع جميع الحقول فارغة</t>
  </si>
  <si>
    <t>src/test/java/Plugin_ERP/Tests/LoginTest/BasicDataTest/CashTest.java:225</t>
  </si>
  <si>
    <t>CashArabicNameWhitespaceIsRejected</t>
  </si>
  <si>
    <t>WH-005 منع الاسم العربي المكوّن من مسافات فقط</t>
  </si>
  <si>
    <t>src/test/java/Plugin_ERP/Tests/LoginTest/BasicDataTest/CashTest.java:248</t>
  </si>
  <si>
    <t>CorrectArabicNameAfterValidationError</t>
  </si>
  <si>
    <t>WH-013 Correct Arabic name after validation error</t>
  </si>
  <si>
    <t>src/test/java/Plugin_ERP/Tests/LoginTest/BasicDataTest/CashTest.java:274</t>
  </si>
  <si>
    <t>OptionalCashFieldsCanBeEmpty</t>
  </si>
  <si>
    <t>WH-007/008/010 Optional fields and unchecked General</t>
  </si>
  <si>
    <t>src/test/java/Plugin_ERP/Tests/LoginTest/BasicDataTest/CashTest.java:311</t>
  </si>
  <si>
    <t>OpenCashCreationForm</t>
  </si>
  <si>
    <t>WH-002 Open cash creation form</t>
  </si>
  <si>
    <t>src/test/java/Plugin_ERP/Tests/LoginTest/BasicDataTest/CashTest.java:322</t>
  </si>
  <si>
    <t>CashListDisplaysRecords</t>
  </si>
  <si>
    <t>WH-001 Display safe list</t>
  </si>
  <si>
    <t>src/test/java/Plugin_ERP/Tests/LoginTest/BasicDataTest/CashTest.java:340</t>
  </si>
  <si>
    <t>SearchSafesByCodeAndName</t>
  </si>
  <si>
    <t>WH-015/016/018/019 Search safe list</t>
  </si>
  <si>
    <t>src/test/java/Plugin_ERP/Tests/LoginTest/BasicDataTest/CashTest.java:357</t>
  </si>
  <si>
    <t>WH_017_SearchSafesByEnglishName</t>
  </si>
  <si>
    <t>WH-017 البحث بالاسم الإنجليزي</t>
  </si>
  <si>
    <t>src/test/java/Plugin_ERP/Tests/LoginTest/BasicDataTest/CashTest.java:392</t>
  </si>
  <si>
    <t>WH_028_SafeListCanBeSortedByCode</t>
  </si>
  <si>
    <t>WH-028 ترتيب قائمة الخزن</t>
  </si>
  <si>
    <t>src/test/java/Plugin_ERP/Tests/LoginTest/BasicDataTest/CashTest.java:413</t>
  </si>
  <si>
    <t>WH_029_ChangingPageSizeUpdatesVisibleRows</t>
  </si>
  <si>
    <t>WH-029 تغيير عدد الصفوف المعروضة</t>
  </si>
  <si>
    <t>src/test/java/Plugin_ERP/Tests/LoginTest/BasicDataTest/CashTest.java:444</t>
  </si>
  <si>
    <t>WH_030_NavigateSafeListPagesWhenAvailable</t>
  </si>
  <si>
    <t>WH-030 التنقل بين صفحات قائمة الخزن</t>
  </si>
  <si>
    <t>src/test/java/Plugin_ERP/Tests/LoginTest/BasicDataTest/CashTest.java:468</t>
  </si>
  <si>
    <t>WH_003_CreateValidSafeAndVerifyFields</t>
  </si>
  <si>
    <t>WH-003 إضافة خزنة ببيانات صحيحة</t>
  </si>
  <si>
    <t>src/test/java/Plugin_ERP/Tests/LoginTest/BasicDataTest/CashTest.java:495</t>
  </si>
  <si>
    <t>WH_007_SaveSafeWithoutAccount</t>
  </si>
  <si>
    <t>WH-007 رقم الحساب غير محدد</t>
  </si>
  <si>
    <t>src/test/java/Plugin_ERP/Tests/LoginTest/BasicDataTest/CashTest.java:522</t>
  </si>
  <si>
    <t>WH_008_SaveSafeWithGeneralUnchecked</t>
  </si>
  <si>
    <t>WH-008 حفظ الخزنة وخيار عام غير محدد</t>
  </si>
  <si>
    <t>src/test/java/Plugin_ERP/Tests/LoginTest/BasicDataTest/CashTest.java:532</t>
  </si>
  <si>
    <t>WH_009_SaveSafeWithGeneralChecked</t>
  </si>
  <si>
    <t>WH-009 حفظ الخزنة وخيار عام محدد</t>
  </si>
  <si>
    <t>src/test/java/Plugin_ERP/Tests/LoginTest/BasicDataTest/CashTest.java:542</t>
  </si>
  <si>
    <t>WH_010_SaveSafeWithEmptyNotes</t>
  </si>
  <si>
    <t>WH-010 حفظ الملاحظات فارغة</t>
  </si>
  <si>
    <t>src/test/java/Plugin_ERP/Tests/LoginTest/BasicDataTest/CashTest.java:552</t>
  </si>
  <si>
    <t>WH_012_RapidDoubleSaveCreatesSingleSafe</t>
  </si>
  <si>
    <t>WH-012 منع إنشاء سجل مكرر عند الضغط على حفظ مرتين</t>
  </si>
  <si>
    <t>src/test/java/Plugin_ERP/Tests/LoginTest/BasicDataTest/CashTest.java:563</t>
  </si>
  <si>
    <t>WH_021_EditOwnedTestSafeAndSave</t>
  </si>
  <si>
    <t>WH-021 تعديل اسم الخزنة وحفظ التغيير</t>
  </si>
  <si>
    <t>src/test/java/Plugin_ERP/Tests/LoginTest/BasicDataTest/CashTest.java:588</t>
  </si>
  <si>
    <t>WH_023_DeleteOnlyOwnedTestSafe</t>
  </si>
  <si>
    <t>WH-023 طلب حذف خزنة اختبار</t>
  </si>
  <si>
    <t>src/test/java/Plugin_ERP/Tests/LoginTest/BasicDataTest/CashTest.java:613</t>
  </si>
  <si>
    <t>WH_024_CancelDeleteOfOwnedTestSafe</t>
  </si>
  <si>
    <t>WH-024 إلغاء حذف الخزنة</t>
  </si>
  <si>
    <t>src/test/java/Plugin_ERP/Tests/LoginTest/BasicDataTest/CashTest.java:638</t>
  </si>
  <si>
    <t>WH_031_NewSafeAppearsAfterListRefresh</t>
  </si>
  <si>
    <t>WH-031 تحديث القائمة بعد الإضافة</t>
  </si>
  <si>
    <t>src/test/java/Plugin_ERP/Tests/LoginTest/BasicDataTest/CashTest.java:660</t>
  </si>
  <si>
    <t>WH_032_SafePersistsAfterBrowserRefresh</t>
  </si>
  <si>
    <t>WH-032 استمرارية حفظ السجل بعد تحديث الصفحة</t>
  </si>
  <si>
    <t>src/test/java/Plugin_ERP/Tests/LoginTest/BasicDataTest/CashTest.java:670</t>
  </si>
  <si>
    <t>WH_035_ReopeningListDoesNotDuplicateSafe</t>
  </si>
  <si>
    <t>WH-035 عدم تكرار السجل بعد إعادة فتح القائمة</t>
  </si>
  <si>
    <t>src/test/java/Plugin_ERP/Tests/LoginTest/BasicDataTest/CashTest.java:680</t>
  </si>
  <si>
    <t>ExportSafesToPdf</t>
  </si>
  <si>
    <t>تصدير قائمة الخزن إلى PDF</t>
  </si>
  <si>
    <t>src/test/java/Plugin_ERP/Tests/LoginTest/BasicDataTest/CashTest.java:702</t>
  </si>
  <si>
    <t>ExportSafesToExcel</t>
  </si>
  <si>
    <t>تصدير قائمة الخزن إلى Excel</t>
  </si>
  <si>
    <t>src/test/java/Plugin_ERP/Tests/LoginTest/BasicDataTest/CashTest.java:726</t>
  </si>
  <si>
    <t>DisEntTest</t>
  </si>
  <si>
    <t>DE_001_ListStructureIsDisplayed</t>
  </si>
  <si>
    <t>DE-001 بنية قائمة جهات الصرف</t>
  </si>
  <si>
    <t>src/test/java/Plugin_ERP/Tests/LoginTest/BasicDataTest/DisEntTest.java:46</t>
  </si>
  <si>
    <t>DE_002_FormControlsAreDisplayed</t>
  </si>
  <si>
    <t>DE-002 حقول نموذج جهة الصرف</t>
  </si>
  <si>
    <t>src/test/java/Plugin_ERP/Tests/LoginTest/BasicDataTest/DisEntTest.java:57</t>
  </si>
  <si>
    <t>DE_014_CloseWithoutSaving</t>
  </si>
  <si>
    <t>DE-014 إغلاق نموذج الإضافة دون حفظ</t>
  </si>
  <si>
    <t>src/test/java/Plugin_ERP/Tests/LoginTest/BasicDataTest/DisEntTest.java:73</t>
  </si>
  <si>
    <t>DE_004_ArabicNameIsRequired</t>
  </si>
  <si>
    <t>DE-004 الاسم العربي إلزامي</t>
  </si>
  <si>
    <t>src/test/java/Plugin_ERP/Tests/LoginTest/BasicDataTest/DisEntTest.java:89</t>
  </si>
  <si>
    <t>DE_005_WhitespaceNameIsRejected</t>
  </si>
  <si>
    <t>DE-005 رفض الاسم العربي المكون من مسافات</t>
  </si>
  <si>
    <t>src/test/java/Plugin_ERP/Tests/LoginTest/BasicDataTest/DisEntTest.java:106</t>
  </si>
  <si>
    <t>DE_003_CreateAndVerifyEntity</t>
  </si>
  <si>
    <t>DE-003 إنشاء جهة صرف والتحقق من الحقول</t>
  </si>
  <si>
    <t>src/test/java/Plugin_ERP/Tests/LoginTest/BasicDataTest/DisEntTest.java:124</t>
  </si>
  <si>
    <t>DE_007_AccountCanBeOmitted</t>
  </si>
  <si>
    <t>DE-007 قبول رقم الحساب الاختياري</t>
  </si>
  <si>
    <t>src/test/java/Plugin_ERP/Tests/LoginTest/BasicDataTest/DisEntTest.java:147</t>
  </si>
  <si>
    <t>DE_021_EditOwnedEntity</t>
  </si>
  <si>
    <t>DE-021 تعديل جهة اختبار محفوظة</t>
  </si>
  <si>
    <t>src/test/java/Plugin_ERP/Tests/LoginTest/BasicDataTest/DisEntTest.java:169</t>
  </si>
  <si>
    <t>DE_022_CancelEditRetainsOriginal</t>
  </si>
  <si>
    <t>DE-022 إلغاء تعديل جهة الصرف</t>
  </si>
  <si>
    <t>src/test/java/Plugin_ERP/Tests/LoginTest/BasicDataTest/DisEntTest.java:191</t>
  </si>
  <si>
    <t>DE_023_DeleteOwnedEntity</t>
  </si>
  <si>
    <t>DE-023 حذف جهة صرف مملوكة للاختبار</t>
  </si>
  <si>
    <t>src/test/java/Plugin_ERP/Tests/LoginTest/BasicDataTest/DisEntTest.java:209</t>
  </si>
  <si>
    <t>DE_024_CancelDeleteRetainsEntity</t>
  </si>
  <si>
    <t>DE-024 إلغاء حذف جهة الصرف</t>
  </si>
  <si>
    <t>src/test/java/Plugin_ERP/Tests/LoginTest/BasicDataTest/DisEntTest.java:230</t>
  </si>
  <si>
    <t>DE_032_PersistsAfterRefresh</t>
  </si>
  <si>
    <t>DE-032 استمرار الجهة بعد تحديث الصفحة</t>
  </si>
  <si>
    <t>src/test/java/Plugin_ERP/Tests/LoginTest/BasicDataTest/DisEntTest.java:251</t>
  </si>
  <si>
    <t>ExpensesTest</t>
  </si>
  <si>
    <t>EX_001_ListStructure</t>
  </si>
  <si>
    <t>EX-001 بنية قائمة المصروفات</t>
  </si>
  <si>
    <t>src/test/java/Plugin_ERP/Tests/LoginTest/BasicDataTest/ExpensesTest.java:48</t>
  </si>
  <si>
    <t>EX_002_FormControls</t>
  </si>
  <si>
    <t>EX-002 عناصر نموذج المصروف</t>
  </si>
  <si>
    <t>src/test/java/Plugin_ERP/Tests/LoginTest/BasicDataTest/ExpensesTest.java:59</t>
  </si>
  <si>
    <t>EX_014_CloseWithoutSave</t>
  </si>
  <si>
    <t>EX-014 إغلاق دون حفظ</t>
  </si>
  <si>
    <t>src/test/java/Plugin_ERP/Tests/LoginTest/BasicDataTest/ExpensesTest.java:73</t>
  </si>
  <si>
    <t>EX_004_ArabicNameRequired</t>
  </si>
  <si>
    <t>EX-004 الاسم العربي مطلوب</t>
  </si>
  <si>
    <t>src/test/java/Plugin_ERP/Tests/LoginTest/BasicDataTest/ExpensesTest.java:89</t>
  </si>
  <si>
    <t>EX_005_WhitespaceRejected</t>
  </si>
  <si>
    <t>EX-005 رفض المسافات في الاسم</t>
  </si>
  <si>
    <t>src/test/java/Plugin_ERP/Tests/LoginTest/BasicDataTest/ExpensesTest.java:106</t>
  </si>
  <si>
    <t>EX_003_CreateAndVerify</t>
  </si>
  <si>
    <t>EX-003 إنشاء مصروف مع حساب وخيار عام</t>
  </si>
  <si>
    <t>src/test/java/Plugin_ERP/Tests/LoginTest/BasicDataTest/ExpensesTest.java:124</t>
  </si>
  <si>
    <t>EX_007_OptionalFields</t>
  </si>
  <si>
    <t>EX-007 قبول الحقول الاختيارية</t>
  </si>
  <si>
    <t>src/test/java/Plugin_ERP/Tests/LoginTest/BasicDataTest/ExpensesTest.java:148</t>
  </si>
  <si>
    <t>EX_021_EditOwned</t>
  </si>
  <si>
    <t>EX-021 تعديل سجل اختبار</t>
  </si>
  <si>
    <t>src/test/java/Plugin_ERP/Tests/LoginTest/BasicDataTest/ExpensesTest.java:171</t>
  </si>
  <si>
    <t>EX_022_CancelEdit</t>
  </si>
  <si>
    <t>EX-022 إلغاء تعديل</t>
  </si>
  <si>
    <t>src/test/java/Plugin_ERP/Tests/LoginTest/BasicDataTest/ExpensesTest.java:192</t>
  </si>
  <si>
    <t>EX_023_DeleteOwned</t>
  </si>
  <si>
    <t>EX-023 حذف سجل اختبار</t>
  </si>
  <si>
    <t>src/test/java/Plugin_ERP/Tests/LoginTest/BasicDataTest/ExpensesTest.java:211</t>
  </si>
  <si>
    <t>EX_024_CancelDelete</t>
  </si>
  <si>
    <t>EX-024 إلغاء حذف</t>
  </si>
  <si>
    <t>src/test/java/Plugin_ERP/Tests/LoginTest/BasicDataTest/ExpensesTest.java:232</t>
  </si>
  <si>
    <t>EX_032_PersistAfterRefresh</t>
  </si>
  <si>
    <t>EX-032 استمرار المصروف بعد التحديث</t>
  </si>
  <si>
    <t>src/test/java/Plugin_ERP/Tests/LoginTest/BasicDataTest/ExpensesTest.java:252</t>
  </si>
  <si>
    <t>PaymentTest</t>
  </si>
  <si>
    <t>PAY_001_ListStructure</t>
  </si>
  <si>
    <t>PAY-001 بنية قائمة طرق الدفع</t>
  </si>
  <si>
    <t>src/test/java/Plugin_ERP/Tests/LoginTest/BasicDataTest/PaymentTest.java:53</t>
  </si>
  <si>
    <t>PAY_002_FormControls</t>
  </si>
  <si>
    <t>PAY-002 عناصر نموذج طريقة الدفع</t>
  </si>
  <si>
    <t>src/test/java/Plugin_ERP/Tests/LoginTest/BasicDataTest/PaymentTest.java:64</t>
  </si>
  <si>
    <t>PAY_014_CloseWithoutSave</t>
  </si>
  <si>
    <t>PAY-014 إغلاق دون حفظ</t>
  </si>
  <si>
    <t>src/test/java/Plugin_ERP/Tests/LoginTest/BasicDataTest/PaymentTest.java:78</t>
  </si>
  <si>
    <t>PAY_004_ArabicNameRequired</t>
  </si>
  <si>
    <t>PAY-004 الاسم العربي مطلوب</t>
  </si>
  <si>
    <t>src/test/java/Plugin_ERP/Tests/LoginTest/BasicDataTest/PaymentTest.java:94</t>
  </si>
  <si>
    <t>PAY_005_BankRequired</t>
  </si>
  <si>
    <t>PAY-005 البنك مطلوب</t>
  </si>
  <si>
    <t>src/test/java/Plugin_ERP/Tests/LoginTest/BasicDataTest/PaymentTest.java:109</t>
  </si>
  <si>
    <t>PAY_006_WhitespaceRejected</t>
  </si>
  <si>
    <t>PAY-006 رفض المسافات في الاسم</t>
  </si>
  <si>
    <t>src/test/java/Plugin_ERP/Tests/LoginTest/BasicDataTest/PaymentTest.java:125</t>
  </si>
  <si>
    <t>PAY_003_CreateAndVerify</t>
  </si>
  <si>
    <t>PAY-003 إنشاء والتحقق من طريقة دفع</t>
  </si>
  <si>
    <t>src/test/java/Plugin_ERP/Tests/LoginTest/BasicDataTest/PaymentTest.java:142</t>
  </si>
  <si>
    <t>PAY_007_OptionalEnglishName</t>
  </si>
  <si>
    <t>PAY-007 قبول الاسم الإنجليزي الاختياري</t>
  </si>
  <si>
    <t>src/test/java/Plugin_ERP/Tests/LoginTest/BasicDataTest/PaymentTest.java:166</t>
  </si>
  <si>
    <t>PAY_021_EditOwned</t>
  </si>
  <si>
    <t>PAY-021 تعديل طريقة دفع مملوكة للاختبار</t>
  </si>
  <si>
    <t>src/test/java/Plugin_ERP/Tests/LoginTest/BasicDataTest/PaymentTest.java:190</t>
  </si>
  <si>
    <t>PAY_022_CancelEdit</t>
  </si>
  <si>
    <t>PAY-022 إلغاء تعديل</t>
  </si>
  <si>
    <t>src/test/java/Plugin_ERP/Tests/LoginTest/BasicDataTest/PaymentTest.java:214</t>
  </si>
  <si>
    <t>PAY_023_DeleteOwned</t>
  </si>
  <si>
    <t>PAY-023 حذف طريقة دفع مملوكة للاختبار</t>
  </si>
  <si>
    <t>src/test/java/Plugin_ERP/Tests/LoginTest/BasicDataTest/PaymentTest.java:237</t>
  </si>
  <si>
    <t>PAY_024_CancelDelete</t>
  </si>
  <si>
    <t>PAY-024 إلغاء الحذف</t>
  </si>
  <si>
    <t>src/test/java/Plugin_ERP/Tests/LoginTest/BasicDataTest/PaymentTest.java:254</t>
  </si>
  <si>
    <t>PAY_032_PersistAfterRefresh</t>
  </si>
  <si>
    <t>PAY-032 استمرار بعد تحديث الصفحة</t>
  </si>
  <si>
    <t>src/test/java/Plugin_ERP/Tests/LoginTest/BasicDataTest/PaymentTest.java:274</t>
  </si>
  <si>
    <t>RevenuesTest</t>
  </si>
  <si>
    <t>REV_001_ListStructure</t>
  </si>
  <si>
    <t>REV-001 بنية القائمة</t>
  </si>
  <si>
    <t>src/test/java/Plugin_ERP/Tests/LoginTest/BasicDataTest/RevenuesTest.java:46</t>
  </si>
  <si>
    <t>REV_002_FormControls</t>
  </si>
  <si>
    <t>REV-002 عناصر النموذج</t>
  </si>
  <si>
    <t>src/test/java/Plugin_ERP/Tests/LoginTest/BasicDataTest/RevenuesTest.java:57</t>
  </si>
  <si>
    <t>REV_014_CloseWithoutSave</t>
  </si>
  <si>
    <t>REV-014 إغلاق دون حفظ</t>
  </si>
  <si>
    <t>src/test/java/Plugin_ERP/Tests/LoginTest/BasicDataTest/RevenuesTest.java:71</t>
  </si>
  <si>
    <t>REV_004_ArabicNameRequired</t>
  </si>
  <si>
    <t>REV-004 الاسم العربي مطلوب</t>
  </si>
  <si>
    <t>src/test/java/Plugin_ERP/Tests/LoginTest/BasicDataTest/RevenuesTest.java:87</t>
  </si>
  <si>
    <t>REV_005_WhitespaceRejected</t>
  </si>
  <si>
    <t>REV-005 رفض المسافات</t>
  </si>
  <si>
    <t>src/test/java/Plugin_ERP/Tests/LoginTest/BasicDataTest/RevenuesTest.java:102</t>
  </si>
  <si>
    <t>REV_003_CreateAndVerify</t>
  </si>
  <si>
    <t>REV-003 إنشاء والتحقق</t>
  </si>
  <si>
    <t>src/test/java/Plugin_ERP/Tests/LoginTest/BasicDataTest/RevenuesTest.java:118</t>
  </si>
  <si>
    <t>REV_007_OptionalFields</t>
  </si>
  <si>
    <t>REV-007 الحقول الاختيارية</t>
  </si>
  <si>
    <t>src/test/java/Plugin_ERP/Tests/LoginTest/BasicDataTest/RevenuesTest.java:142</t>
  </si>
  <si>
    <t>REV_021_EditOwned</t>
  </si>
  <si>
    <t>REV-021 تعديل سجل الاختبار</t>
  </si>
  <si>
    <t>src/test/java/Plugin_ERP/Tests/LoginTest/BasicDataTest/RevenuesTest.java:165</t>
  </si>
  <si>
    <t>REV_022_CancelEdit</t>
  </si>
  <si>
    <t>REV-022 إلغاء تعديل</t>
  </si>
  <si>
    <t>src/test/java/Plugin_ERP/Tests/LoginTest/BasicDataTest/RevenuesTest.java:186</t>
  </si>
  <si>
    <t>REV_023_DeleteOwned</t>
  </si>
  <si>
    <t>REV-023 حذف سجل الاختبار</t>
  </si>
  <si>
    <t>src/test/java/Plugin_ERP/Tests/LoginTest/BasicDataTest/RevenuesTest.java:209</t>
  </si>
  <si>
    <t>REV_024_CancelDelete</t>
  </si>
  <si>
    <t>REV-024 إلغاء الحذف</t>
  </si>
  <si>
    <t>src/test/java/Plugin_ERP/Tests/LoginTest/BasicDataTest/RevenuesTest.java:230</t>
  </si>
  <si>
    <t>REV_032_PersistAfterRefresh</t>
  </si>
  <si>
    <t>REV-032 استمرار بعد التحديث</t>
  </si>
  <si>
    <t>src/test/java/Plugin_ERP/Tests/LoginTest/BasicDataTest/RevenuesTest.java:250</t>
  </si>
  <si>
    <t>RL_001_ListStructure</t>
  </si>
  <si>
    <t>RL-001 بنية القائمة</t>
  </si>
  <si>
    <t>src/test/java/Plugin_ERP/Tests/LoginTest/BasicDataTest/RoutLineTest.java:47</t>
  </si>
  <si>
    <t>RL_002_FormControls</t>
  </si>
  <si>
    <t>RL-002 عناصر النموذج</t>
  </si>
  <si>
    <t>src/test/java/Plugin_ERP/Tests/LoginTest/BasicDataTest/RoutLineTest.java:58</t>
  </si>
  <si>
    <t>RL_014_CloseWithoutSave</t>
  </si>
  <si>
    <t>RL-014 إغلاق دون حفظ</t>
  </si>
  <si>
    <t>src/test/java/Plugin_ERP/Tests/LoginTest/BasicDataTest/RoutLineTest.java:72</t>
  </si>
  <si>
    <t>RL_004_ArabicNameRequired</t>
  </si>
  <si>
    <t>RL-004 الاسم مطلوب</t>
  </si>
  <si>
    <t>src/test/java/Plugin_ERP/Tests/LoginTest/BasicDataTest/RoutLineTest.java:88</t>
  </si>
  <si>
    <t>RL_003_CreateAndVerify</t>
  </si>
  <si>
    <t>RL-003 إنشاء والتحقق</t>
  </si>
  <si>
    <t>src/test/java/Plugin_ERP/Tests/LoginTest/BasicDataTest/RoutLineTest.java:103</t>
  </si>
  <si>
    <t>RL_007_CollectionTypeAndLocationOff</t>
  </si>
  <si>
    <t>RL-007 نوع التحصيل وخيار الموقع</t>
  </si>
  <si>
    <t>src/test/java/Plugin_ERP/Tests/LoginTest/BasicDataTest/RoutLineTest.java:127</t>
  </si>
  <si>
    <t>RL_021_EditOwned</t>
  </si>
  <si>
    <t>RL-021 تعديل سجل الاختبار</t>
  </si>
  <si>
    <t>src/test/java/Plugin_ERP/Tests/LoginTest/BasicDataTest/RoutLineTest.java:148</t>
  </si>
  <si>
    <t>RL_022_CancelEdit</t>
  </si>
  <si>
    <t>RL-022 إلغاء تعديل</t>
  </si>
  <si>
    <t>src/test/java/Plugin_ERP/Tests/LoginTest/BasicDataTest/RoutLineTest.java:170</t>
  </si>
  <si>
    <t>RL_023_DeleteOwned</t>
  </si>
  <si>
    <t>RL-023 حذف سجل الاختبار</t>
  </si>
  <si>
    <t>src/test/java/Plugin_ERP/Tests/LoginTest/BasicDataTest/RoutLineTest.java:193</t>
  </si>
  <si>
    <t>RL_024_CancelDelete</t>
  </si>
  <si>
    <t>RL-024 إلغاء الحذف</t>
  </si>
  <si>
    <t>src/test/java/Plugin_ERP/Tests/LoginTest/BasicDataTest/RoutLineTest.java:214</t>
  </si>
  <si>
    <t>RL_032_PersistAfterRefresh</t>
  </si>
  <si>
    <t>RL-032 الاستمرار بعد تحديث الصفحة</t>
  </si>
  <si>
    <t>src/test/java/Plugin_ERP/Tests/LoginTest/BasicDataTest/RoutLineTest.java:234</t>
  </si>
  <si>
    <t>StoreTest</t>
  </si>
  <si>
    <t>STORE_001_ListStructure</t>
  </si>
  <si>
    <t>ST-001 بنية القائمة</t>
  </si>
  <si>
    <t>src/test/java/Plugin_ERP/Tests/LoginTest/BasicDataTest/StoreTest.java:43</t>
  </si>
  <si>
    <t>STORE_002_FormControls</t>
  </si>
  <si>
    <t>ST-002 عناصر النموذج</t>
  </si>
  <si>
    <t>src/test/java/Plugin_ERP/Tests/LoginTest/BasicDataTest/StoreTest.java:54</t>
  </si>
  <si>
    <t>STORE_003_CloseWithoutSave</t>
  </si>
  <si>
    <t>ST-003 إغلاق دون حفظ</t>
  </si>
  <si>
    <t>src/test/java/Plugin_ERP/Tests/LoginTest/BasicDataTest/StoreTest.java:68</t>
  </si>
  <si>
    <t>STORE_004_ArabicNameRequired</t>
  </si>
  <si>
    <t>ST-004 الاسم العربي مطلوب</t>
  </si>
  <si>
    <t>src/test/java/Plugin_ERP/Tests/LoginTest/BasicDataTest/StoreTest.java:84</t>
  </si>
  <si>
    <t>STORE_005_CreateAndVerify</t>
  </si>
  <si>
    <t>ST-005 إنشاء والتحقق من بيانات المخزن</t>
  </si>
  <si>
    <t>src/test/java/Plugin_ERP/Tests/LoginTest/BasicDataTest/StoreTest.java:99</t>
  </si>
  <si>
    <t>STORE_006_EditOwned</t>
  </si>
  <si>
    <t>ST-006 تعديل سجل اختبار</t>
  </si>
  <si>
    <t>src/test/java/Plugin_ERP/Tests/LoginTest/BasicDataTest/StoreTest.java:122</t>
  </si>
  <si>
    <t>STORE_007_DeleteOwned</t>
  </si>
  <si>
    <t>ST-007 حذف سجل اختبار</t>
  </si>
  <si>
    <t>src/test/java/Plugin_ERP/Tests/LoginTest/BasicDataTest/StoreTest.java:143</t>
  </si>
  <si>
    <t>STORE_008_CancelDelete</t>
  </si>
  <si>
    <t>ST-008 إلغاء الحذف</t>
  </si>
  <si>
    <t>src/test/java/Plugin_ERP/Tests/LoginTest/BasicDataTest/StoreTest.java:164</t>
  </si>
  <si>
    <t>STORE_009_PersistAfterRefresh</t>
  </si>
  <si>
    <t>ST-009 استمرار بعد التحديث</t>
  </si>
  <si>
    <t>src/test/java/Plugin_ERP/Tests/LoginTest/BasicDataTest/StoreTest.java:184</t>
  </si>
  <si>
    <t>TaypeOfDiscountTest</t>
  </si>
  <si>
    <t>ValidTaypeOfDiscountTest</t>
  </si>
  <si>
    <t>إضافة نوع خصم ببيانات صحيحة</t>
  </si>
  <si>
    <t>src/test/java/Plugin_ERP/Tests/LoginTest/BasicDataTest/TaypeOfDiscountTest.java:21</t>
  </si>
  <si>
    <t>EditTypeOfDiscount</t>
  </si>
  <si>
    <t>تعديل نوع خصم ببيانات صحيحة</t>
  </si>
  <si>
    <t>src/test/java/Plugin_ERP/Tests/LoginTest/BasicDataTest/TaypeOfDiscountTest.java:45</t>
  </si>
  <si>
    <t>DeleteTypeOfDiscount</t>
  </si>
  <si>
    <t>حذف نوع خصم</t>
  </si>
  <si>
    <t>src/test/java/Plugin_ERP/Tests/LoginTest/BasicDataTest/TaypeOfDiscountTest.java:70</t>
  </si>
  <si>
    <t>AssertArabicNameRequired</t>
  </si>
  <si>
    <t>src/test/java/Plugin_ERP/Tests/LoginTest/BasicDataTest/TaypeOfDiscountTest.java:84</t>
  </si>
  <si>
    <t>AssertSecretCodeRequired</t>
  </si>
  <si>
    <t>التحقق - الكود السري إلزامي</t>
  </si>
  <si>
    <t>src/test/java/Plugin_ERP/Tests/LoginTest/BasicDataTest/TaypeOfDiscountTest.java:104</t>
  </si>
  <si>
    <t>AssertPercentageRequired</t>
  </si>
  <si>
    <t>التحقق - نسبة الخصم إلزامية</t>
  </si>
  <si>
    <t>src/test/java/Plugin_ERP/Tests/LoginTest/BasicDataTest/TaypeOfDiscountTest.java:123</t>
  </si>
  <si>
    <t>TreasuryHandoverTest</t>
  </si>
  <si>
    <t>ValidTreasuryHandoverTest</t>
  </si>
  <si>
    <t>إضافة تسليم خزينة ببيانات صحيحة</t>
  </si>
  <si>
    <t>src/test/java/Plugin_ERP/Tests/LoginTest/BasicDataTest/TreasuryHandoverTest.java:20</t>
  </si>
  <si>
    <t>InvalidTreasuryHandoverTest</t>
  </si>
  <si>
    <t>التحقق - خطأ عند تكرار تسليم خزينة لنفس المستخدم</t>
  </si>
  <si>
    <t>src/test/java/Plugin_ERP/Tests/LoginTest/BasicDataTest/TreasuryHandoverTest.java:40</t>
  </si>
  <si>
    <t>OpenTreasuryHandover</t>
  </si>
  <si>
    <t>فتح تسليم الخزينة للمراجعة والتحقق من الرصيد في التقرير</t>
  </si>
  <si>
    <t>src/test/java/Plugin_ERP/Tests/LoginTest/BasicDataTest/TreasuryHandoverTest.java:60</t>
  </si>
  <si>
    <t>LoginTest</t>
  </si>
  <si>
    <t>VALID LOGIN STORY</t>
  </si>
  <si>
    <t>src/test/java/Plugin_ERP/Tests/LoginTest/LoginTest.java:23</t>
  </si>
  <si>
    <t>InvalidLoginTest</t>
  </si>
  <si>
    <t>INVALID LOGIN STORY</t>
  </si>
  <si>
    <t>src/test/java/Plugin_ERP/Tests/LoginTest/LoginTest.java:42</t>
  </si>
  <si>
    <t>AddProductsTest</t>
  </si>
  <si>
    <t>addNewProductWithValidData</t>
  </si>
  <si>
    <t>إضافة صنف بالمخزن ووحدة فرعية</t>
  </si>
  <si>
    <t>src/test/java/ProductsTest/AddProductsTest.java:13</t>
  </si>
  <si>
    <t>EditProduct</t>
  </si>
  <si>
    <t>تعديل صنف الاختبار</t>
  </si>
  <si>
    <t>src/test/java/ProductsTest/AddProductsTest.java:15</t>
  </si>
  <si>
    <t>AddComponent</t>
  </si>
  <si>
    <t>إضافة مكون مستقل للصنف</t>
  </si>
  <si>
    <t>src/test/java/ProductsTest/AddProductsTest.java:17</t>
  </si>
  <si>
    <t>DeleteProduct</t>
  </si>
  <si>
    <t>حذف صنف الاختبار</t>
  </si>
  <si>
    <t>src/test/java/ProductsTest/AddProductsTest.java:19</t>
  </si>
  <si>
    <t>AddProductWithOutBarcode</t>
  </si>
  <si>
    <t>الباركود الأساسي مطلوب</t>
  </si>
  <si>
    <t>src/test/java/ProductsTest/AddProductsTest.java:21</t>
  </si>
  <si>
    <t>AddProductWithOutCategory</t>
  </si>
  <si>
    <t>الفئة مطلوبة</t>
  </si>
  <si>
    <t>src/test/java/ProductsTest/AddProductsTest.java:23</t>
  </si>
  <si>
    <t>AddProductWithOutUnit</t>
  </si>
  <si>
    <t>الوحدة الأساسية مطلوبة</t>
  </si>
  <si>
    <t>src/test/java/ProductsTest/AddProductsTest.java:25</t>
  </si>
  <si>
    <t>AddProductWithOutStock</t>
  </si>
  <si>
    <t>مخزن واحد على الأقل مطلوب</t>
  </si>
  <si>
    <t>src/test/java/ProductsTest/AddProductsTest.java:27</t>
  </si>
  <si>
    <t>AddProductWithSameUnit</t>
  </si>
  <si>
    <t>src/test/java/ProductsTest/AddProductsTest.java:29</t>
  </si>
  <si>
    <t>AddProductWithNoTransUnit</t>
  </si>
  <si>
    <t>معامل التحويل مطلوب</t>
  </si>
  <si>
    <t>src/test/java/ProductsTest/AddProductsTest.java:31</t>
  </si>
  <si>
    <t>AddTransWithoutBarcode</t>
  </si>
  <si>
    <t>باركود الوحدة الفرعية مطلوب</t>
  </si>
  <si>
    <t>src/test/java/ProductsTest/AddProductsTest.java:33</t>
  </si>
  <si>
    <t>PR_RequiredArabic</t>
  </si>
  <si>
    <t>اسم الصنف العربي مطلوب</t>
  </si>
  <si>
    <t>src/test/java/ProductsTest/AddProductsTest.java:35</t>
  </si>
  <si>
    <t>PR_SimpleProduct</t>
  </si>
  <si>
    <t>حفظ صنف بوحدة أساسية فقط</t>
  </si>
  <si>
    <t>src/test/java/ProductsTest/AddProductsTest.java:37</t>
  </si>
  <si>
    <t>PR_SubunitRateOne</t>
  </si>
  <si>
    <t>src/test/java/ProductsTest/AddProductsTest.java:39</t>
  </si>
  <si>
    <t>PR_SubunitNegativeRate</t>
  </si>
  <si>
    <t>src/test/java/ProductsTest/AddProductsTest.java:41</t>
  </si>
  <si>
    <t>PR_DuplicateSubunit</t>
  </si>
  <si>
    <t>src/test/java/ProductsTest/AddProductsTest.java:43</t>
  </si>
  <si>
    <t>PR_DuplicateStore</t>
  </si>
  <si>
    <t>src/test/java/ProductsTest/AddProductsTest.java:45</t>
  </si>
  <si>
    <t>PR_NegativeOpening</t>
  </si>
  <si>
    <t>رفض رصيد افتتاحي سالب</t>
  </si>
  <si>
    <t>src/test/java/ProductsTest/AddProductsTest.java:47</t>
  </si>
  <si>
    <t>PR_NegativeMinimum</t>
  </si>
  <si>
    <t>رفض الحد الأدنى السالب</t>
  </si>
  <si>
    <t>src/test/java/ProductsTest/AddProductsTest.java:49</t>
  </si>
  <si>
    <t>PR_NegativeCost</t>
  </si>
  <si>
    <t>رفض تكلفة سالبة</t>
  </si>
  <si>
    <t>src/test/java/ProductsTest/AddProductsTest.java:51</t>
  </si>
  <si>
    <t>PR_ControlFlags</t>
  </si>
  <si>
    <t>حفظ صلاحيات استخدام الصنف</t>
  </si>
  <si>
    <t>src/test/java/ProductsTest/AddProductsTest.java:53</t>
  </si>
  <si>
    <t>PR_StockBalances</t>
  </si>
  <si>
    <t>حفظ رصيد المخزن وتكلفته</t>
  </si>
  <si>
    <t>src/test/java/ProductsTest/AddProductsTest.java:55</t>
  </si>
  <si>
    <t>PR_CancelNew</t>
  </si>
  <si>
    <t>إغلاق دون حفظ</t>
  </si>
  <si>
    <t>src/test/java/ProductsTest/AddProductsTest.java:57</t>
  </si>
  <si>
    <t>PR_CancelEdit</t>
  </si>
  <si>
    <t>إلغاء التعديل دون حفظ</t>
  </si>
  <si>
    <t>src/test/java/ProductsTest/AddProductsTest.java:59</t>
  </si>
  <si>
    <t>PR_CancelDelete</t>
  </si>
  <si>
    <t>إلغاء حذف سجل الاختبار</t>
  </si>
  <si>
    <t>src/test/java/ProductsTest/AddProductsTest.java:61</t>
  </si>
  <si>
    <t>PR_SearchAndReset</t>
  </si>
  <si>
    <t>البحث وعدم وجود نتائج وإعادة البحث</t>
  </si>
  <si>
    <t>src/test/java/ProductsTest/AddProductsTest.java:63</t>
  </si>
  <si>
    <t>PR_ListStructure</t>
  </si>
  <si>
    <t>أعمدة القائمة وسجل الاختبار</t>
  </si>
  <si>
    <t>src/test/java/ProductsTest/AddProductsTest.java:65</t>
  </si>
  <si>
    <t>PR_ExportPdf</t>
  </si>
  <si>
    <t>تصدير PDF صالح</t>
  </si>
  <si>
    <t>src/test/java/ProductsTest/AddProductsTest.java:67</t>
  </si>
  <si>
    <t>PR_ExportExcel</t>
  </si>
  <si>
    <t>تصدير Excel صالح</t>
  </si>
  <si>
    <t>src/test/java/ProductsTest/AddProductsTest.java:69</t>
  </si>
  <si>
    <t>PR_OptionalEnglish</t>
  </si>
  <si>
    <t>حفظ دون الاسم الإنجليزي الاختياري</t>
  </si>
  <si>
    <t>src/test/java/ProductsTest/AddProductsTest.java:71</t>
  </si>
  <si>
    <t>PR_NegativeSalePrice</t>
  </si>
  <si>
    <t>رفض سعر بيع سالب</t>
  </si>
  <si>
    <t>src/test/java/ProductsTest/AddProductsTest.java:84</t>
  </si>
  <si>
    <t>PR_MinimumAboveSalePrice</t>
  </si>
  <si>
    <t>رفض حد أدنى أعلى من سعر البيع</t>
  </si>
  <si>
    <t>src/test/java/ProductsTest/AddProductsTest.java:86</t>
  </si>
  <si>
    <t>PR_MaximumBelowSalePrice</t>
  </si>
  <si>
    <t>رفض حد أقصى أقل من سعر البيع</t>
  </si>
  <si>
    <t>src/test/java/ProductsTest/AddProductsTest.java:88</t>
  </si>
  <si>
    <t>PR_MinimumAboveMaximum</t>
  </si>
  <si>
    <t>رفض حد أدنى أكبر من الحد الأقصى</t>
  </si>
  <si>
    <t>src/test/java/ProductsTest/AddProductsTest.java:90</t>
  </si>
  <si>
    <t>PR_SalePriceBelowMinimum</t>
  </si>
  <si>
    <t>رفض سعر بيع أقل من الحد الأدنى</t>
  </si>
  <si>
    <t>src/test/java/ProductsTest/AddProductsTest.java:92</t>
  </si>
  <si>
    <t>PR_SalePriceAboveMaximum</t>
  </si>
  <si>
    <t>رفض سعر بيع أكبر من الحد الأقصى</t>
  </si>
  <si>
    <t>src/test/java/ProductsTest/AddProductsTest.java:94</t>
  </si>
  <si>
    <t>PR_MaximumBelowMinimum</t>
  </si>
  <si>
    <t>رفض حد أقصى أقل من الحد الأدنى</t>
  </si>
  <si>
    <t>src/test/java/ProductsTest/AddProductsTest.java:96</t>
  </si>
  <si>
    <t>PR_AllPricesEqual</t>
  </si>
  <si>
    <t>قبول تساوي أسعار البيع الثلاثة مع الكسور</t>
  </si>
  <si>
    <t>src/test/java/ProductsTest/AddProductsTest.java:98</t>
  </si>
  <si>
    <t>PR_SalePriceEqualsMinimum</t>
  </si>
  <si>
    <t>قبول سعر البيع عند الحد الأدنى</t>
  </si>
  <si>
    <t>src/test/java/ProductsTest/AddProductsTest.java:100</t>
  </si>
  <si>
    <t>PR_SalePriceEqualsMaximum</t>
  </si>
  <si>
    <t>قبول سعر البيع عند الحد الأقصى</t>
  </si>
  <si>
    <t>src/test/java/ProductsTest/AddProductsTest.java:102</t>
  </si>
  <si>
    <t>PR_DuplicateMainBarcode</t>
  </si>
  <si>
    <t>التحقق من تكرار باركود صنف مملوك للاختبار</t>
  </si>
  <si>
    <t>src/test/java/ProductsTest/AddProductsTest.java:123</t>
  </si>
  <si>
    <t>PR_UpdatePrices</t>
  </si>
  <si>
    <t>تعديل أسعار صنف الاختبار مع الاحتفاظ بالكسور</t>
  </si>
  <si>
    <t>src/test/java/ProductsTest/AddProductsTest.java:129</t>
  </si>
  <si>
    <t>PR_AddSecondStore</t>
  </si>
  <si>
    <t>ربط الصنف بمخزنين مستقلين</t>
  </si>
  <si>
    <t>src/test/java/ProductsTest/AddProductsTest.java:134</t>
  </si>
  <si>
    <t>PR_ArabicProductName</t>
  </si>
  <si>
    <t>حفظ اسم عربي للصنف مع بيانات الاختبار الفريدة</t>
  </si>
  <si>
    <t>src/test/java/ProductsTest/AddProductsTest.java:140</t>
  </si>
  <si>
    <t>ProductCategoriesTest</t>
  </si>
  <si>
    <t>AddProductCategory</t>
  </si>
  <si>
    <t>إضافة فئة رئيسية</t>
  </si>
  <si>
    <t>src/test/java/ProductsTest/ProductCategoriesTest.java:13</t>
  </si>
  <si>
    <t>AddBranchProduct</t>
  </si>
  <si>
    <t>إضافة فئة فرعية بربط مستقل</t>
  </si>
  <si>
    <t>src/test/java/ProductsTest/ProductCategoriesTest.java:15</t>
  </si>
  <si>
    <t>EditBranchProduct</t>
  </si>
  <si>
    <t>تعديل فئة فرعية مستقلة</t>
  </si>
  <si>
    <t>src/test/java/ProductsTest/ProductCategoriesTest.java:17</t>
  </si>
  <si>
    <t>DeleteBranchProduct</t>
  </si>
  <si>
    <t>حذف فئة الاختبار فقط</t>
  </si>
  <si>
    <t>src/test/java/ProductsTest/ProductCategoriesTest.java:19</t>
  </si>
  <si>
    <t>AddProductCategoryWithoutArabicName</t>
  </si>
  <si>
    <t>اسم الفئة العربي مطلوب</t>
  </si>
  <si>
    <t>src/test/java/ProductsTest/ProductCategoriesTest.java:21</t>
  </si>
  <si>
    <t>PR_CategoryFlags</t>
  </si>
  <si>
    <t>حفظ خصائص فئة المطعم ونقاط البيع</t>
  </si>
  <si>
    <t>src/test/java/ProductsTest/ProductCategoriesTest.java:23</t>
  </si>
  <si>
    <t>src/test/java/ProductsTest/ProductCategoriesTest.java:25</t>
  </si>
  <si>
    <t>src/test/java/ProductsTest/ProductCategoriesTest.java:27</t>
  </si>
  <si>
    <t>src/test/java/ProductsTest/ProductCategoriesTest.java:29</t>
  </si>
  <si>
    <t>src/test/java/ProductsTest/ProductCategoriesTest.java:31</t>
  </si>
  <si>
    <t>src/test/java/ProductsTest/ProductCategoriesTest.java:33</t>
  </si>
  <si>
    <t>src/test/java/ProductsTest/ProductCategoriesTest.java:35</t>
  </si>
  <si>
    <t>src/test/java/ProductsTest/ProductCategoriesTest.java:37</t>
  </si>
  <si>
    <t>src/test/java/ProductsTest/ProductCategoriesTest.java:39</t>
  </si>
  <si>
    <t>ProductListTest</t>
  </si>
  <si>
    <t>PR_DuplicatePriceListItem</t>
  </si>
  <si>
    <t>رفض تكرار نفس الصنف والوحدة في قائمة الأسعار</t>
  </si>
  <si>
    <t>src/test/java/ProductsTest/ProductListTest.java:11</t>
  </si>
  <si>
    <t>AddNewProductList</t>
  </si>
  <si>
    <t>إضافة قائمة بأسعار أصناف الاختبار والطباعة</t>
  </si>
  <si>
    <t>src/test/java/ProductsTest/ProductListTest.java:18</t>
  </si>
  <si>
    <t>EditPriceList</t>
  </si>
  <si>
    <t>تعديل وطباعة قائمة الاختبار</t>
  </si>
  <si>
    <t>src/test/java/ProductsTest/ProductListTest.java:20</t>
  </si>
  <si>
    <t>DeletePriceList</t>
  </si>
  <si>
    <t>حذف قائمة الاختبار</t>
  </si>
  <si>
    <t>src/test/java/ProductsTest/ProductListTest.java:22</t>
  </si>
  <si>
    <t>AssertErorrMsg</t>
  </si>
  <si>
    <t>اسم القائمة العربي مطلوب</t>
  </si>
  <si>
    <t>src/test/java/ProductsTest/ProductListTest.java:24</t>
  </si>
  <si>
    <t>PR_SaveWithoutPrint</t>
  </si>
  <si>
    <t>حفظ قائمة الأسعار دون طباعة</t>
  </si>
  <si>
    <t>src/test/java/ProductsTest/ProductListTest.java:26</t>
  </si>
  <si>
    <t>PR_DecimalPrice</t>
  </si>
  <si>
    <t>الاحتفاظ بكسور السعر</t>
  </si>
  <si>
    <t>src/test/java/ProductsTest/ProductListTest.java:28</t>
  </si>
  <si>
    <t>src/test/java/ProductsTest/ProductListTest.java:30</t>
  </si>
  <si>
    <t>src/test/java/ProductsTest/ProductListTest.java:32</t>
  </si>
  <si>
    <t>src/test/java/ProductsTest/ProductListTest.java:34</t>
  </si>
  <si>
    <t>src/test/java/ProductsTest/ProductListTest.java:36</t>
  </si>
  <si>
    <t>src/test/java/ProductsTest/ProductListTest.java:38</t>
  </si>
  <si>
    <t>src/test/java/ProductsTest/ProductListTest.java:40</t>
  </si>
  <si>
    <t>src/test/java/ProductsTest/ProductListTest.java:42</t>
  </si>
  <si>
    <t>src/test/java/ProductsTest/ProductListTest.java:44</t>
  </si>
  <si>
    <t>ProductsCleanupTest</t>
  </si>
  <si>
    <t>src/test/java/ProductsTest/ProductsCleanupTest.java:102</t>
  </si>
  <si>
    <t>src/test/java/ProductsTest/ProductsCleanupTest.java:109</t>
  </si>
  <si>
    <t>src/test/java/ProductsTest/ProductsCleanupTest.java:115</t>
  </si>
  <si>
    <t>src/test/java/ProductsTest/ProductsCleanupTest.java:125</t>
  </si>
  <si>
    <t>src/test/java/ProductsTest/ProductsCleanupTest.java:134</t>
  </si>
  <si>
    <t>src/test/java/ProductsTest/ProductsCleanupTest.java:143</t>
  </si>
  <si>
    <t>src/test/java/ProductsTest/ProductsCleanupTest.java:148</t>
  </si>
  <si>
    <t>src/test/java/ProductsTest/ProductsCleanupTest.java:153</t>
  </si>
  <si>
    <t>src/test/java/ProductsTest/ProductsCleanupTest.java:164</t>
  </si>
  <si>
    <t>src/test/java/ProductsTest/ProductsCleanupTest.java:173</t>
  </si>
  <si>
    <t>src/test/java/ProductsTest/ProductsCleanupTest.java:183</t>
  </si>
  <si>
    <t>src/test/java/ProductsTest/ProductsCleanupTest.java:195</t>
  </si>
  <si>
    <t>acceptsVerifiedMissingProductDefaultDto</t>
  </si>
  <si>
    <t>src/test/java/ProductsTest/ProductsCleanupTest.java:207</t>
  </si>
  <si>
    <t>src/test/java/ProductsTest/ProductsCleanupTest.java:214</t>
  </si>
  <si>
    <t>src/test/java/ProductsTest/ProductsCleanupTest.java:221</t>
  </si>
  <si>
    <t>src/test/java/ProductsTest/ProductsCleanupTest.java:234</t>
  </si>
  <si>
    <t>src/test/java/ProductsTest/ProductsCleanupTest.java:240</t>
  </si>
  <si>
    <t>src/test/java/ProductsTest/ProductsCleanupTest.java:249</t>
  </si>
  <si>
    <t>src/test/java/ProductsTest/ProductsCleanupTest.java:256</t>
  </si>
  <si>
    <t>src/test/java/ProductsTest/ProductsCleanupTest.java:263</t>
  </si>
  <si>
    <t>UnitTest</t>
  </si>
  <si>
    <t>AddNewUnite</t>
  </si>
  <si>
    <t>إضافة وحدة مستقلة</t>
  </si>
  <si>
    <t>src/test/java/ProductsTest/UnitTest.java:13</t>
  </si>
  <si>
    <t>EditUnite</t>
  </si>
  <si>
    <t>تعديل وحدة الاختبار</t>
  </si>
  <si>
    <t>src/test/java/ProductsTest/UnitTest.java:15</t>
  </si>
  <si>
    <t>DeleteUnite</t>
  </si>
  <si>
    <t>حذف وحدة الاختبار فقط</t>
  </si>
  <si>
    <t>src/test/java/ProductsTest/UnitTest.java:17</t>
  </si>
  <si>
    <t>AddUniteWithoutArabicName</t>
  </si>
  <si>
    <t>الاسم العربي مطلوب</t>
  </si>
  <si>
    <t>src/test/java/ProductsTest/UnitTest.java:19</t>
  </si>
  <si>
    <t>src/test/java/ProductsTest/UnitTest.java:21</t>
  </si>
  <si>
    <t>src/test/java/ProductsTest/UnitTest.java:23</t>
  </si>
  <si>
    <t>src/test/java/ProductsTest/UnitTest.java:25</t>
  </si>
  <si>
    <t>src/test/java/ProductsTest/UnitTest.java:27</t>
  </si>
  <si>
    <t>src/test/java/ProductsTest/UnitTest.java:29</t>
  </si>
  <si>
    <t>src/test/java/ProductsTest/UnitTest.java:31</t>
  </si>
  <si>
    <t>src/test/java/ProductsTest/UnitTest.java:33</t>
  </si>
  <si>
    <t>src/test/java/ProductsTest/UnitTest.java:35</t>
  </si>
  <si>
    <t>PurchaseCalculationTest</t>
  </si>
  <si>
    <t>src/test/java/Purches/PurchaseCalculationTest.java:21</t>
  </si>
  <si>
    <t>src/test/java/Purches/PurchaseCalculationTest.java:22</t>
  </si>
  <si>
    <t>src/test/java/Purches/PurchaseCalculationTest.java:23</t>
  </si>
  <si>
    <t>src/test/java/Purches/PurchaseCalculationTest.java:24</t>
  </si>
  <si>
    <t>src/test/java/Purches/PurchaseCalculationTest.java:25</t>
  </si>
  <si>
    <t>src/test/java/Purches/PurchaseCalculationTest.java:26</t>
  </si>
  <si>
    <t>src/test/java/Purches/PurchaseCalculationTest.java:27</t>
  </si>
  <si>
    <t>src/test/java/Purches/PurchaseCalculationTest.java:28</t>
  </si>
  <si>
    <t>src/test/java/Purches/PurchaseCalculationTest.java:29</t>
  </si>
  <si>
    <t>src/test/java/Purches/PurchaseCalculationTest.java:30</t>
  </si>
  <si>
    <t>src/test/java/Purches/PurchaseCalculationTest.java:31</t>
  </si>
  <si>
    <t>src/test/java/Purches/PurchaseCalculationTest.java:32</t>
  </si>
  <si>
    <t>PurchaseCleanupTest</t>
  </si>
  <si>
    <t>actualPageLifecycleDefersCleanupUntilGroupEndEvenAfterFailure</t>
  </si>
  <si>
    <t>دورة الصفحة تحتفظ ببيانات الحالتين الناجحة والفاشلة وتغلق النوافذ ثم تنظف المجموعة مرة واحدة</t>
  </si>
  <si>
    <t>src/test/java/Purches/PurchaseCleanupTest.java:16</t>
  </si>
  <si>
    <t>interruptedCleanupJournalsOnlyRemainingOwnedRecords</t>
  </si>
  <si>
    <t>تحديث سجل الاسترجاع بعد كل حذف ناجح حتى لا يعيد الانقطاع سجلات تم تنظيفها</t>
  </si>
  <si>
    <t>src/test/java/Purches/PurchaseCleanupTest.java:36</t>
  </si>
  <si>
    <t>recoversSparsePurchaseListThroughVerifiedDetails</t>
  </si>
  <si>
    <t>استعادة مستند المشتريات من قائمة مختصرة لا تعرض الملاحظات أو المخزن مع حماية المستندات الأخرى</t>
  </si>
  <si>
    <t>src/test/java/Purches/PurchaseCleanupTest.java:44</t>
  </si>
  <si>
    <t>receiptLookupUsesDetailsAndPreservesUnrelatedReceipts</t>
  </si>
  <si>
    <t>التحقق من مورد سند القبض عبر تفاصيله عندما تخفي القائمة هوية المتعامل دون تعديل أي سند</t>
  </si>
  <si>
    <t>src/test/java/Purches/PurchaseCleanupTest.java:53</t>
  </si>
  <si>
    <t>retriesRolledBackDeadlockWithoutDuplicateFixture</t>
  </si>
  <si>
    <t>إعادة محاولة إنشاء بيانات الاختبار بعد إلغاء المعاملة بسبب تعارض أقفال دون تكرار السجل</t>
  </si>
  <si>
    <t>src/test/java/Purches/PurchaseCleanupTest.java:61</t>
  </si>
  <si>
    <t>boundsRolledBackDeadlockRetries</t>
  </si>
  <si>
    <t>تحديد إعادة محاولة تعارض الأقفال بثلاث محاولات مع إبقاء بيانات الاستعادة</t>
  </si>
  <si>
    <t>src/test/java/Purches/PurchaseCleanupTest.java:66</t>
  </si>
  <si>
    <t>فشل قراءة المورد لا يبرر حذف عميل موجود أو حساباته</t>
  </si>
  <si>
    <t>src/test/java/Purches/PurchaseCleanupTest.java:70</t>
  </si>
  <si>
    <t>src/test/java/Purches/PurchaseCleanupTest.java:76</t>
  </si>
  <si>
    <t>src/test/java/Purches/PurchaseCleanupTest.java:84</t>
  </si>
  <si>
    <t>مشاركة بيانات الصفحة الثابتة مع عزل الأصناف والموردين والأرصدة بين الحالات</t>
  </si>
  <si>
    <t>src/test/java/Purches/PurchaseCleanupTest.java:88</t>
  </si>
  <si>
    <t>src/test/java/Purches/PurchaseCleanupTest.java:99</t>
  </si>
  <si>
    <t>src/test/java/Purches/PurchaseCleanupTest.java:108</t>
  </si>
  <si>
    <t>src/test/java/Purches/PurchaseCleanupTest.java:116</t>
  </si>
  <si>
    <t>استعادة مستند محفوظ ضاعت استجابته لكل نوع من مستندات المشتريات</t>
  </si>
  <si>
    <t>src/test/java/Purches/PurchaseCleanupTest.java:125</t>
  </si>
  <si>
    <t>src/test/java/Purches/PurchaseCleanupTest.java:132</t>
  </si>
  <si>
    <t>src/test/java/Purches/PurchaseCleanupTest.java:133</t>
  </si>
  <si>
    <t>src/test/java/Purches/PurchaseCleanupTest.java:140</t>
  </si>
  <si>
    <t>src/test/java/Purches/PurchaseCleanupTest.java:147</t>
  </si>
  <si>
    <t>src/test/java/Purches/PurchaseCleanupTest.java:264</t>
  </si>
  <si>
    <t>src/test/java/Purches/PurchaseCleanupTest.java:271</t>
  </si>
  <si>
    <t>src/test/java/Purches/PurchaseCleanupTest.java:278</t>
  </si>
  <si>
    <t>src/test/java/Purches/PurchaseCleanupTest.java:284</t>
  </si>
  <si>
    <t>src/test/java/Purches/PurchaseCleanupTest.java:290</t>
  </si>
  <si>
    <t>src/test/java/Purches/PurchaseCleanupTest.java:295</t>
  </si>
  <si>
    <t>src/test/java/Purches/PurchaseCleanupTest.java:302</t>
  </si>
  <si>
    <t>src/test/java/Purches/PurchaseCleanupTest.java:306</t>
  </si>
  <si>
    <t>src/test/java/Purches/PurchaseCleanupTest.java:312</t>
  </si>
  <si>
    <t>src/test/java/Purches/PurchaseCleanupTest.java:318</t>
  </si>
  <si>
    <t>src/test/java/Purches/PurchaseCleanupTest.java:319</t>
  </si>
  <si>
    <t>src/test/java/Purches/PurchaseCleanupTest.java:328</t>
  </si>
  <si>
    <t>src/test/java/Purches/PurchaseCleanupTest.java:335</t>
  </si>
  <si>
    <t>src/test/java/Purches/PurchaseCleanupTest.java:342</t>
  </si>
  <si>
    <t>src/test/java/Purches/PurchaseCleanupTest.java:350</t>
  </si>
  <si>
    <t>src/test/java/Purches/PurchaseCleanupTest.java:357</t>
  </si>
  <si>
    <t>src/test/java/Purches/PurchaseCleanupTest.java:363</t>
  </si>
  <si>
    <t>src/test/java/Purches/PurchaseCleanupTest.java:373</t>
  </si>
  <si>
    <t>src/test/java/Purches/PurchaseCleanupTest.java:382</t>
  </si>
  <si>
    <t>src/test/java/Purches/PurchaseCleanupTest.java:391</t>
  </si>
  <si>
    <t>src/test/java/Purches/PurchaseCleanupTest.java:396</t>
  </si>
  <si>
    <t>src/test/java/Purches/PurchaseCleanupTest.java:401</t>
  </si>
  <si>
    <t>src/test/java/Purches/PurchaseCleanupTest.java:412</t>
  </si>
  <si>
    <t>src/test/java/Purches/PurchaseCleanupTest.java:421</t>
  </si>
  <si>
    <t>src/test/java/Purches/PurchaseCleanupTest.java:431</t>
  </si>
  <si>
    <t>src/test/java/Purches/PurchaseCleanupTest.java:443</t>
  </si>
  <si>
    <t>src/test/java/Purches/PurchaseCleanupTest.java:455</t>
  </si>
  <si>
    <t>src/test/java/Purches/PurchaseCleanupTest.java:462</t>
  </si>
  <si>
    <t>src/test/java/Purches/PurchaseCleanupTest.java:469</t>
  </si>
  <si>
    <t>PurchaseDiscoveryTest</t>
  </si>
  <si>
    <t>inspectPurchaseScreens</t>
  </si>
  <si>
    <t>فحص شاشات المشتريات وحقولها دون إنشاء أو تغيير أي بيانات</t>
  </si>
  <si>
    <t>src/test/java/Purches/PurchaseDiscoveryTest.java:13</t>
  </si>
  <si>
    <t>PurchaseFormTest</t>
  </si>
  <si>
    <t>حفظ مستند مشتريات بصنف الاختبار من القائمة</t>
  </si>
  <si>
    <t>src/test/java/Purches/PurchaseFormTest.java:5</t>
  </si>
  <si>
    <t>حفظ مستند مشتريات بإضافة صنف الاختبار بالباركود</t>
  </si>
  <si>
    <t>src/test/java/Purches/PurchaseFormTest.java:8</t>
  </si>
  <si>
    <t>حفظ مستند مشتريات بإضافة صنف الاختبار بالاسم</t>
  </si>
  <si>
    <t>src/test/java/Purches/PurchaseFormTest.java:11</t>
  </si>
  <si>
    <t>حفظ مستند نقدي باستخدام وسيلة دفع أنشأها الاختبار</t>
  </si>
  <si>
    <t>src/test/java/Purches/PurchaseFormTest.java:14</t>
  </si>
  <si>
    <t>حفظ كمية كسرية والتحقق من بياناتها وأثرها على المخزون</t>
  </si>
  <si>
    <t>src/test/java/Purches/PurchaseFormTest.java:17</t>
  </si>
  <si>
    <t>حفظ صنفين مستقلين والتحقق من البنود والمخزون</t>
  </si>
  <si>
    <t>src/test/java/Purches/PurchaseFormTest.java:20</t>
  </si>
  <si>
    <t>إزالة بند قبل الحفظ والتحقق من عدم تخزينه</t>
  </si>
  <si>
    <t>src/test/java/Purches/PurchaseFormTest.java:23</t>
  </si>
  <si>
    <t>src/test/java/Purches/PurchaseFormTest.java:26</t>
  </si>
  <si>
    <t>منع حفظ مستند مشتريات بدون أصناف</t>
  </si>
  <si>
    <t>src/test/java/Purches/PurchaseFormTest.java:29</t>
  </si>
  <si>
    <t>منع حفظ بند بكمية صفر</t>
  </si>
  <si>
    <t>src/test/java/Purches/PurchaseFormTest.java:32</t>
  </si>
  <si>
    <t>src/test/java/Purches/PurchaseFormTest.java:35</t>
  </si>
  <si>
    <t>missingSupplierCannotSave</t>
  </si>
  <si>
    <t>التحقق من إلزامية المورد ومنع الحفظ بدونه</t>
  </si>
  <si>
    <t>src/test/java/Purches/PurchaseFormTest.java:38</t>
  </si>
  <si>
    <t>التحقق من إلزامية المخزن ومنع الحفظ بدونه</t>
  </si>
  <si>
    <t>src/test/java/Purches/PurchaseFormTest.java:41</t>
  </si>
  <si>
    <t>منع حفظ مستند بسعر شراء سالب</t>
  </si>
  <si>
    <t>src/test/java/Purches/PurchaseFormTest.java:44</t>
  </si>
  <si>
    <t>زر جديد يمسح بنود المستند غير المحفوظة</t>
  </si>
  <si>
    <t>src/test/java/Purches/PurchaseFormTest.java:47</t>
  </si>
  <si>
    <t>إعادة فتح المستند والتحقق من المورد والمخزن والصنف والكمية</t>
  </si>
  <si>
    <t>src/test/java/Purches/PurchaseFormTest.java:50</t>
  </si>
  <si>
    <t>savedDocumentCanBeEdited</t>
  </si>
  <si>
    <t>تعديل كمية مستند الاختبار والتحقق من الحفظ وأثر المخزون</t>
  </si>
  <si>
    <t>src/test/java/Purches/PurchaseFormTest.java:53</t>
  </si>
  <si>
    <t>deletesOnlyOwnedDocument</t>
  </si>
  <si>
    <t>حذف مستند الاختبار فقط والتحقق من عكس حركة المخزون</t>
  </si>
  <si>
    <t>src/test/java/Purches/PurchaseFormTest.java:56</t>
  </si>
  <si>
    <t>savesAndPrintsOwnedDocument</t>
  </si>
  <si>
    <t>حفظ مستند الاختبار وفتح تقرير الطباعة والتحقق من الصنف</t>
  </si>
  <si>
    <t>src/test/java/Purches/PurchaseFormTest.java:59</t>
  </si>
  <si>
    <t>PurchaseInvoiceCoverageTest</t>
  </si>
  <si>
    <t>إعادة حساب المستند بعد خصم عشرة بالمائة</t>
  </si>
  <si>
    <t>src/test/java/Purches/PurchaseInvoiceCoverageTest.java:7</t>
  </si>
  <si>
    <t>إعادة حساب المستند بعد خصم بالقيمة</t>
  </si>
  <si>
    <t>src/test/java/Purches/PurchaseInvoiceCoverageTest.java:10</t>
  </si>
  <si>
    <t>PurchaseLinkedCoverageTest</t>
  </si>
  <si>
    <t>linkedReturnKeepsOriginalQuantity</t>
  </si>
  <si>
    <t>تحويل فاتورة الاختبار إلى مرتجع مرتبط يمنع تسجيل كمية مختلفة عن المصدر</t>
  </si>
  <si>
    <t>src/test/java/Purches/PurchaseLinkedCoverageTest.java:7</t>
  </si>
  <si>
    <t>ownedOrderConvertsToPurchase</t>
  </si>
  <si>
    <t>تحويل أمر الشراء إلى فاتورة دون تكرار أثر المخزون</t>
  </si>
  <si>
    <t>src/test/java/Purches/PurchaseLinkedCoverageTest.java:10</t>
  </si>
  <si>
    <t>PurchaseListCoverageTest</t>
  </si>
  <si>
    <t>supplierFilterIsOwned</t>
  </si>
  <si>
    <t>فلتر المورد يعرض مستندات مورد الاختبار فقط</t>
  </si>
  <si>
    <t>src/test/java/Purches/PurchaseListCoverageTest.java:13</t>
  </si>
  <si>
    <t>exactCodeFilter</t>
  </si>
  <si>
    <t>البحث بالكود الكامل يعرض الفاتورة المطابقة فقط</t>
  </si>
  <si>
    <t>src/test/java/Purches/PurchaseListCoverageTest.java:15</t>
  </si>
  <si>
    <t>referenceFilter</t>
  </si>
  <si>
    <t>البحث بالمرجع يعرض فاتورة الاختبار المطابقة فقط</t>
  </si>
  <si>
    <t>src/test/java/Purches/PurchaseListCoverageTest.java:17</t>
  </si>
  <si>
    <t>unmatchedCodeClearsRows</t>
  </si>
  <si>
    <t>البحث بكود غير موجود يمسح النتائج السابقة</t>
  </si>
  <si>
    <t>src/test/java/Purches/PurchaseListCoverageTest.java:19</t>
  </si>
  <si>
    <t>clearCodeRestoresSupplierScope</t>
  </si>
  <si>
    <t>مسح فلتر الكود يعيد جميع مستندات مورد الاختبار</t>
  </si>
  <si>
    <t>src/test/java/Purches/PurchaseListCoverageTest.java:21</t>
  </si>
  <si>
    <t>pageSizePreservesResults</t>
  </si>
  <si>
    <t>تغيير حجم الصفحة يحافظ على فواتير مورد الاختبار لكل حجم مدعوم</t>
  </si>
  <si>
    <t>src/test/java/Purches/PurchaseListCoverageTest.java:24</t>
  </si>
  <si>
    <t>sortKeepsOwnedDocuments</t>
  </si>
  <si>
    <t>الترتيب تصاعدياً وتنازلياً يحافظ على مستندات مورد الاختبار</t>
  </si>
  <si>
    <t>src/test/java/Purches/PurchaseListCoverageTest.java:26</t>
  </si>
  <si>
    <t>conflictingFiltersAreEmpty</t>
  </si>
  <si>
    <t>دمج فلاتر الكود والمرجع المتعارضة يعرض قائمة فارغة</t>
  </si>
  <si>
    <t>src/test/java/Purches/PurchaseListCoverageTest.java:28</t>
  </si>
  <si>
    <t>dateRangeDoesNotLeaveStaleRows</t>
  </si>
  <si>
    <t>نطاق تاريخ يوم واحد يعرض فاتورة الاختبار ثم نطاق خال يمسحها</t>
  </si>
  <si>
    <t>src/test/java/Purches/PurchaseListCoverageTest.java:30</t>
  </si>
  <si>
    <t>exportsPdf</t>
  </si>
  <si>
    <t>تصدير فواتير مورد الاختبار إلى ملف PDF فعلي</t>
  </si>
  <si>
    <t>src/test/java/Purches/PurchaseListCoverageTest.java:32</t>
  </si>
  <si>
    <t>exportsExcel</t>
  </si>
  <si>
    <t>تصدير فواتير مورد الاختبار إلى ملف Excel فعلي</t>
  </si>
  <si>
    <t>src/test/java/Purches/PurchaseListCoverageTest.java:34</t>
  </si>
  <si>
    <t>PurchaseOrderCoverageTest</t>
  </si>
  <si>
    <t>cashOrderCreatesReceiptWithoutStockMovement</t>
  </si>
  <si>
    <t>أمر الشراء النقدي ينشئ سند قبض ولا يغير المخزون</t>
  </si>
  <si>
    <t>src/test/java/Purches/PurchaseOrderCoverageTest.java:7</t>
  </si>
  <si>
    <t>PurchaseReturnCoverageTest</t>
  </si>
  <si>
    <t>src/test/java/Purches/PurchaseReturnCoverageTest.java:7</t>
  </si>
  <si>
    <t>src/test/java/Purches/PurchaseReturnCoverageTest.java:10</t>
  </si>
  <si>
    <t>PurchaseSmokeTest</t>
  </si>
  <si>
    <t>savesOwnedCreditPurchase</t>
  </si>
  <si>
    <t>حفظ فاتورة مشتريات آجلة ببيانات مستقلة والتحقق من زيادة المخزون ورصيد المورد</t>
  </si>
  <si>
    <t>src/test/java/Purches/PurchaseSmokeTest.java:6</t>
  </si>
  <si>
    <t>PurchesBillsTest</t>
  </si>
  <si>
    <t>PurchaseBillsTest</t>
  </si>
  <si>
    <t>إنشاء فاتورة مشتريات وطباعة أصناف الاختبار</t>
  </si>
  <si>
    <t>src/test/java/Purches/PurchesBillsTest.java:7</t>
  </si>
  <si>
    <t>إنشاء فاتورة مشتريات بالباركود</t>
  </si>
  <si>
    <t>src/test/java/Purches/PurchesBillsTest.java:10</t>
  </si>
  <si>
    <t>إنشاء فاتورة مشتريات بالاسم</t>
  </si>
  <si>
    <t>src/test/java/Purches/PurchesBillsTest.java:13</t>
  </si>
  <si>
    <t>AddPurchesBillsByPriceWithCashPayTest</t>
  </si>
  <si>
    <t>إنشاء فاتورة مشتريات نقدية</t>
  </si>
  <si>
    <t>src/test/java/Purches/PurchesBillsTest.java:16</t>
  </si>
  <si>
    <t>AddPurchesBillsByPriceWithOtherPayTest</t>
  </si>
  <si>
    <t>إنشاء فاتورة مشتريات بوسيلة دفع أخرى مملوكة للاختبار</t>
  </si>
  <si>
    <t>src/test/java/Purches/PurchesBillsTest.java:19</t>
  </si>
  <si>
    <t>حفظ فاتورة مشتريات بأصناف الاختبار</t>
  </si>
  <si>
    <t>src/test/java/Purches/PurchesBillsTest.java:22</t>
  </si>
  <si>
    <t>DeleteAll</t>
  </si>
  <si>
    <t>حذف فاتورة الاختبار فقط وعكس المخزون</t>
  </si>
  <si>
    <t>src/test/java/Purches/PurchesBillsTest.java:25</t>
  </si>
  <si>
    <t>AddWithOutSupplier</t>
  </si>
  <si>
    <t>منع فاتورة مشتريات بدون مورد</t>
  </si>
  <si>
    <t>src/test/java/Purches/PurchesBillsTest.java:28</t>
  </si>
  <si>
    <t>منع فاتورة مشتريات بدون أصناف</t>
  </si>
  <si>
    <t>src/test/java/Purches/PurchesBillsTest.java:31</t>
  </si>
  <si>
    <t>TransToReturnPurchesOrder</t>
  </si>
  <si>
    <t>تحويل فاتورة الاختبار إلى مرتجع مرتبط بكميات مقفولة</t>
  </si>
  <si>
    <t>src/test/java/Purches/PurchesBillsTest.java:34</t>
  </si>
  <si>
    <t>purchOrderTest</t>
  </si>
  <si>
    <t>إنشاء أمر شراء بأصناف الاختبار دون تأثير على المخزون</t>
  </si>
  <si>
    <t>src/test/java/Purches/purchOrderTest.java:7</t>
  </si>
  <si>
    <t>AddPurchesOrderByBarcodTest</t>
  </si>
  <si>
    <t>إنشاء أمر شراء بإضافة الصنف بالباركود</t>
  </si>
  <si>
    <t>src/test/java/Purches/purchOrderTest.java:10</t>
  </si>
  <si>
    <t>AddPurchesOrderByNameTest</t>
  </si>
  <si>
    <t>إنشاء أمر شراء بإضافة الصنف بالاسم</t>
  </si>
  <si>
    <t>src/test/java/Purches/purchOrderTest.java:13</t>
  </si>
  <si>
    <t>حذف أمر شراء الاختبار فقط</t>
  </si>
  <si>
    <t>src/test/java/Purches/purchOrderTest.java:16</t>
  </si>
  <si>
    <t>منع أمر شراء بدون مورد</t>
  </si>
  <si>
    <t>src/test/java/Purches/purchOrderTest.java:19</t>
  </si>
  <si>
    <t>منع أمر شراء بدون أصناف</t>
  </si>
  <si>
    <t>src/test/java/Purches/purchOrderTest.java:22</t>
  </si>
  <si>
    <t>TransToPurchaseBill</t>
  </si>
  <si>
    <t>تحويل أمر شراء الاختبار إلى فاتورة والتحقق من المخزون</t>
  </si>
  <si>
    <t>src/test/java/Purches/purchOrderTest.java:25</t>
  </si>
  <si>
    <t>ReturnOrderTest</t>
  </si>
  <si>
    <t>AddReturnOrderTest</t>
  </si>
  <si>
    <t>إنشاء مرتجع مشتريات حر بأصناف الاختبار</t>
  </si>
  <si>
    <t>src/test/java/Purches/ReturnOrderTest.java:7</t>
  </si>
  <si>
    <t>AddReturnOrderTestWithDiscount</t>
  </si>
  <si>
    <t>إنشاء مرتجع مشتريات بخصم بالقيمة</t>
  </si>
  <si>
    <t>src/test/java/Purches/ReturnOrderTest.java:10</t>
  </si>
  <si>
    <t>إنشاء مرتجع مشتريات بالباركود</t>
  </si>
  <si>
    <t>src/test/java/Purches/ReturnOrderTest.java:13</t>
  </si>
  <si>
    <t>إنشاء مرتجع مشتريات بالاسم</t>
  </si>
  <si>
    <t>src/test/java/Purches/ReturnOrderTest.java:16</t>
  </si>
  <si>
    <t>حفظ مرتجع مشتريات بأصناف الاختبار</t>
  </si>
  <si>
    <t>src/test/java/Purches/ReturnOrderTest.java:19</t>
  </si>
  <si>
    <t>DeleteReturnOrderTest</t>
  </si>
  <si>
    <t>حذف مرتجع الاختبار فقط وعكس حركة المخزون</t>
  </si>
  <si>
    <t>src/test/java/Purches/ReturnOrderTest.java:22</t>
  </si>
  <si>
    <t>منع مرتجع مشتريات بدون مورد</t>
  </si>
  <si>
    <t>src/test/java/Purches/ReturnOrderTest.java:25</t>
  </si>
  <si>
    <t>منع مرتجع مشتريات بدون أصناف</t>
  </si>
  <si>
    <t>src/test/java/Purches/ReturnOrderTest.java:28</t>
  </si>
  <si>
    <t>AdditionOrderTest</t>
  </si>
  <si>
    <t>إضافة إذن استلام باختيار الأصناف من القائمة</t>
  </si>
  <si>
    <t>src/test/java/StoreTest/AdditionOrderTest.java:11</t>
  </si>
  <si>
    <t>AddAdditionOrderTestByName</t>
  </si>
  <si>
    <t>إضافة إذن استلام عن طريق البحث بالاسم</t>
  </si>
  <si>
    <t>src/test/java/StoreTest/AdditionOrderTest.java:13</t>
  </si>
  <si>
    <t>AddAdditionByBarcode</t>
  </si>
  <si>
    <t>إضافة إذن الاستلام عن طريق البحث بالباركود</t>
  </si>
  <si>
    <t>src/test/java/StoreTest/AdditionOrderTest.java:15</t>
  </si>
  <si>
    <t>EditAddition</t>
  </si>
  <si>
    <t>تعديل إذن استلام موجود</t>
  </si>
  <si>
    <t>src/test/java/StoreTest/AdditionOrderTest.java:17</t>
  </si>
  <si>
    <t>DeleteAddition</t>
  </si>
  <si>
    <t>حذف سند الاختبار فقط مع التحقق من عكس الرصيد</t>
  </si>
  <si>
    <t>src/test/java/StoreTest/AdditionOrderTest.java:19</t>
  </si>
  <si>
    <t>AssertItemTypeRequired</t>
  </si>
  <si>
    <t>التحقق - نوع البند إلزامي في إذن الاستلام</t>
  </si>
  <si>
    <t>src/test/java/StoreTest/AdditionOrderTest.java:21</t>
  </si>
  <si>
    <t>AssertCustomerRequired</t>
  </si>
  <si>
    <t>التحقق - المورد إلزامي عند اختيار نوع البند (موردين)</t>
  </si>
  <si>
    <t>src/test/java/StoreTest/AdditionOrderTest.java:23</t>
  </si>
  <si>
    <t>AssertAgentRequired</t>
  </si>
  <si>
    <t>التحقق - المندوب إلزامي عند اختيار نوع البند (مندوبين)</t>
  </si>
  <si>
    <t>src/test/java/StoreTest/AdditionOrderTest.java:25</t>
  </si>
  <si>
    <t>AssertDistributionEntityRequired</t>
  </si>
  <si>
    <t>التحقق - جهة الصرف إلزامية عند اختيار نوع البند (جهات الصرف)</t>
  </si>
  <si>
    <t>src/test/java/StoreTest/AdditionOrderTest.java:27</t>
  </si>
  <si>
    <t>AssertErrorWhenSavingWithoutProducts</t>
  </si>
  <si>
    <t>التحقق - خطأ عند حفظ إذن استلام بدون أصناف</t>
  </si>
  <si>
    <t>src/test/java/StoreTest/AdditionOrderTest.java:29</t>
  </si>
  <si>
    <t>التحقق - خطأ عند حفظ إذن استلام بتاريخ قديم</t>
  </si>
  <si>
    <t>src/test/java/StoreTest/AdditionOrderTest.java:31</t>
  </si>
  <si>
    <t>SM_NotesRoundTrip</t>
  </si>
  <si>
    <t>حفظ الملاحظات العربية والإنجليزية كما هي</t>
  </si>
  <si>
    <t>src/test/java/StoreTest/AdditionOrderTest.java:33</t>
  </si>
  <si>
    <t>SM_PrimaryPartyIdentity</t>
  </si>
  <si>
    <t>هوية المتعامل المختار دون عميل افتراضي</t>
  </si>
  <si>
    <t>src/test/java/StoreTest/AdditionOrderTest.java:35</t>
  </si>
  <si>
    <t>SM_AgentIdentity</t>
  </si>
  <si>
    <t>سند المندوب لا يرتبط بعميل افتراضي</t>
  </si>
  <si>
    <t>src/test/java/StoreTest/AdditionOrderTest.java:37</t>
  </si>
  <si>
    <t>SM_DestinationIdentity</t>
  </si>
  <si>
    <t>سند جهة الصرف لا يرتبط بمتعامل افتراضي</t>
  </si>
  <si>
    <t>src/test/java/StoreTest/AdditionOrderTest.java:39</t>
  </si>
  <si>
    <t>DamageAdjustmentTest</t>
  </si>
  <si>
    <t>AddDamageAdjustmentTest</t>
  </si>
  <si>
    <t>إضافة تسوية توالف باختيار الأصناف من القائمة</t>
  </si>
  <si>
    <t>src/test/java/StoreTest/DamageAdjustmentTest.java:11</t>
  </si>
  <si>
    <t>AddDamageAdjustmentByNameTest</t>
  </si>
  <si>
    <t>إضافة تسوية توالف باستخدام اسم الصنف</t>
  </si>
  <si>
    <t>src/test/java/StoreTest/DamageAdjustmentTest.java:13</t>
  </si>
  <si>
    <t>AddDamageAdjustmentByBarcodeTest</t>
  </si>
  <si>
    <t>إضافة تسوية توالف باستخدام الباركود</t>
  </si>
  <si>
    <t>src/test/java/StoreTest/DamageAdjustmentTest.java:15</t>
  </si>
  <si>
    <t>EditAddDamageAdjustment</t>
  </si>
  <si>
    <t>تعديل تسوية توالف</t>
  </si>
  <si>
    <t>src/test/java/StoreTest/DamageAdjustmentTest.java:17</t>
  </si>
  <si>
    <t>DeleteDamageAdjustment</t>
  </si>
  <si>
    <t>src/test/java/StoreTest/DamageAdjustmentTest.java:19</t>
  </si>
  <si>
    <t>AddOldDateTest</t>
  </si>
  <si>
    <t>التحقق من عدم السماح بالحفظ بتاريخ قديم</t>
  </si>
  <si>
    <t>src/test/java/StoreTest/DamageAdjustmentTest.java:21</t>
  </si>
  <si>
    <t>AddProductWithoutQuantityTest</t>
  </si>
  <si>
    <t>التحقق من عدم إضافة صنف بدون كمية</t>
  </si>
  <si>
    <t>src/test/java/StoreTest/DamageAdjustmentTest.java:23</t>
  </si>
  <si>
    <t>src/test/java/StoreTest/DamageAdjustmentTest.java:25</t>
  </si>
  <si>
    <t>ExchangeOrderTest</t>
  </si>
  <si>
    <t>AddExchangeWithItemsList</t>
  </si>
  <si>
    <t>إضافة إذن صرف باختيار الأصناف من القائمة</t>
  </si>
  <si>
    <t>src/test/java/StoreTest/ExchangeOrderTest.java:11</t>
  </si>
  <si>
    <t>AddExchangeByName</t>
  </si>
  <si>
    <t>إضافة إذن صرف عن طريق البحث بالاسم</t>
  </si>
  <si>
    <t>src/test/java/StoreTest/ExchangeOrderTest.java:13</t>
  </si>
  <si>
    <t>AddExchangeByBarcode</t>
  </si>
  <si>
    <t>إضافة إذن صرف عن طريق البحث بالباركود</t>
  </si>
  <si>
    <t>src/test/java/StoreTest/ExchangeOrderTest.java:15</t>
  </si>
  <si>
    <t>EditExchange</t>
  </si>
  <si>
    <t>تعديل إذن صرف موجود</t>
  </si>
  <si>
    <t>src/test/java/StoreTest/ExchangeOrderTest.java:17</t>
  </si>
  <si>
    <t>DeleteExchange</t>
  </si>
  <si>
    <t>src/test/java/StoreTest/ExchangeOrderTest.java:19</t>
  </si>
  <si>
    <t>التحقق - نوع البند إلزامي في إذن الصرف</t>
  </si>
  <si>
    <t>src/test/java/StoreTest/ExchangeOrderTest.java:21</t>
  </si>
  <si>
    <t>التحقق - العميل إلزامي عند اختيار نوع البند (عملاء)</t>
  </si>
  <si>
    <t>src/test/java/StoreTest/ExchangeOrderTest.java:23</t>
  </si>
  <si>
    <t>src/test/java/StoreTest/ExchangeOrderTest.java:25</t>
  </si>
  <si>
    <t>src/test/java/StoreTest/ExchangeOrderTest.java:27</t>
  </si>
  <si>
    <t>التحقق - خطأ عند حفظ إذن صرف بدون أصناف</t>
  </si>
  <si>
    <t>src/test/java/StoreTest/ExchangeOrderTest.java:29</t>
  </si>
  <si>
    <t>التحقق - خطأ عند حفظ إذن الصرف بتاريخ قديم</t>
  </si>
  <si>
    <t>src/test/java/StoreTest/ExchangeOrderTest.java:31</t>
  </si>
  <si>
    <t>src/test/java/StoreTest/ExchangeOrderTest.java:33</t>
  </si>
  <si>
    <t>src/test/java/StoreTest/ExchangeOrderTest.java:35</t>
  </si>
  <si>
    <t>src/test/java/StoreTest/ExchangeOrderTest.java:37</t>
  </si>
  <si>
    <t>src/test/java/StoreTest/ExchangeOrderTest.java:39</t>
  </si>
  <si>
    <t>ManufacturingTest</t>
  </si>
  <si>
    <t>AddManufacturingTest</t>
  </si>
  <si>
    <t>إضافة إذن تصنيع باختيار الأصناف من القائمة</t>
  </si>
  <si>
    <t>src/test/java/StoreTest/ManufacturingTest.java:11</t>
  </si>
  <si>
    <t>AddManufacturingByBarcodeTest</t>
  </si>
  <si>
    <t>إضافة إذن تصنيع باستخدام الباركود</t>
  </si>
  <si>
    <t>src/test/java/StoreTest/ManufacturingTest.java:13</t>
  </si>
  <si>
    <t>AddManufacturingByNameTest</t>
  </si>
  <si>
    <t>إضافة إذن تصنيع باستخدام اسم الصنف</t>
  </si>
  <si>
    <t>src/test/java/StoreTest/ManufacturingTest.java:15</t>
  </si>
  <si>
    <t>DeleteManufacturingByBarcodeTest</t>
  </si>
  <si>
    <t>src/test/java/StoreTest/ManufacturingTest.java:17</t>
  </si>
  <si>
    <t>AssertStoreRequired</t>
  </si>
  <si>
    <t>التحقق من إلزامية اختيار المخزن</t>
  </si>
  <si>
    <t>src/test/java/StoreTest/ManufacturingTest.java:19</t>
  </si>
  <si>
    <t>AssertErorrPopUpWhenAddProuctWithOutStore</t>
  </si>
  <si>
    <t>التحقق من ظهور رسالة خطأ عند إضافة أصناف بدون اختيار مخزن</t>
  </si>
  <si>
    <t>src/test/java/StoreTest/ManufacturingTest.java:21</t>
  </si>
  <si>
    <t>AssertStorePopUpWhenAddProuctWithOutBalancee</t>
  </si>
  <si>
    <t>التحقق من ظهور رسالة خطأ عند تجاوز الرصيد المتاح</t>
  </si>
  <si>
    <t>src/test/java/StoreTest/ManufacturingTest.java:23</t>
  </si>
  <si>
    <t>SM_EditManufacturing</t>
  </si>
  <si>
    <t>تعديل إذن تصنيع والتحقق من رصيد المكونات</t>
  </si>
  <si>
    <t>src/test/java/StoreTest/ManufacturingTest.java:25</t>
  </si>
  <si>
    <t>StoreCleanupTest</t>
  </si>
  <si>
    <t>src/test/java/StoreTest/StoreCleanupTest.java:109</t>
  </si>
  <si>
    <t>src/test/java/StoreTest/StoreCleanupTest.java:116</t>
  </si>
  <si>
    <t>src/test/java/StoreTest/StoreCleanupTest.java:123</t>
  </si>
  <si>
    <t>src/test/java/StoreTest/StoreCleanupTest.java:129</t>
  </si>
  <si>
    <t>src/test/java/StoreTest/StoreCleanupTest.java:135</t>
  </si>
  <si>
    <t>src/test/java/StoreTest/StoreCleanupTest.java:140</t>
  </si>
  <si>
    <t>src/test/java/StoreTest/StoreCleanupTest.java:147</t>
  </si>
  <si>
    <t>src/test/java/StoreTest/StoreCleanupTest.java:151</t>
  </si>
  <si>
    <t>cleansManufacturingWithoutNotesUsingOwnedStoreAndItems</t>
  </si>
  <si>
    <t>src/test/java/StoreTest/StoreCleanupTest.java:157</t>
  </si>
  <si>
    <t>rejectsManufacturingWithChangedStoreIdentity</t>
  </si>
  <si>
    <t>src/test/java/StoreTest/StoreCleanupTest.java:163</t>
  </si>
  <si>
    <t>rejectsManufacturingWithChangedItemIdentity</t>
  </si>
  <si>
    <t>src/test/java/StoreTest/StoreCleanupTest.java:164</t>
  </si>
  <si>
    <t>src/test/java/StoreTest/StoreCleanupTest.java:173</t>
  </si>
  <si>
    <t>src/test/java/StoreTest/StoreCleanupTest.java:180</t>
  </si>
  <si>
    <t>src/test/java/StoreTest/StoreCleanupTest.java:187</t>
  </si>
  <si>
    <t>src/test/java/StoreTest/StoreCleanupTest.java:195</t>
  </si>
  <si>
    <t>src/test/java/StoreTest/StoreCleanupTest.java:202</t>
  </si>
  <si>
    <t>src/test/java/StoreTest/StoreCleanupTest.java:208</t>
  </si>
  <si>
    <t>src/test/java/StoreTest/StoreCleanupTest.java:218</t>
  </si>
  <si>
    <t>src/test/java/StoreTest/StoreCleanupTest.java:227</t>
  </si>
  <si>
    <t>src/test/java/StoreTest/StoreCleanupTest.java:236</t>
  </si>
  <si>
    <t>src/test/java/StoreTest/StoreCleanupTest.java:241</t>
  </si>
  <si>
    <t>src/test/java/StoreTest/StoreCleanupTest.java:246</t>
  </si>
  <si>
    <t>src/test/java/StoreTest/StoreCleanupTest.java:257</t>
  </si>
  <si>
    <t>src/test/java/StoreTest/StoreCleanupTest.java:266</t>
  </si>
  <si>
    <t>src/test/java/StoreTest/StoreCleanupTest.java:276</t>
  </si>
  <si>
    <t>src/test/java/StoreTest/StoreCleanupTest.java:288</t>
  </si>
  <si>
    <t>src/test/java/StoreTest/StoreCleanupTest.java:300</t>
  </si>
  <si>
    <t>src/test/java/StoreTest/StoreCleanupTest.java:307</t>
  </si>
  <si>
    <t>src/test/java/StoreTest/StoreCleanupTest.java:314</t>
  </si>
  <si>
    <t>src/test/java/StoreTest/StoreCleanupTest.java:327</t>
  </si>
  <si>
    <t>src/test/java/StoreTest/StoreCleanupTest.java:333</t>
  </si>
  <si>
    <t>src/test/java/StoreTest/StoreCleanupTest.java:342</t>
  </si>
  <si>
    <t>StoreScenarioTest</t>
  </si>
  <si>
    <t>SM_CancelCreation</t>
  </si>
  <si>
    <t>إلغاء إنشاء سند دون تغيير الرصيد</t>
  </si>
  <si>
    <t>src/test/java/StoreTest/StoreScenarioTest.java:123</t>
  </si>
  <si>
    <t>SM_CancelEdit</t>
  </si>
  <si>
    <t>إلغاء تعديل السند يحافظ على بياناته ورصيده</t>
  </si>
  <si>
    <t>src/test/java/StoreTest/StoreScenarioTest.java:124</t>
  </si>
  <si>
    <t>SM_CancelDelete</t>
  </si>
  <si>
    <t>إلغاء حذف سند الاختبار</t>
  </si>
  <si>
    <t>src/test/java/StoreTest/StoreScenarioTest.java:125</t>
  </si>
  <si>
    <t>SM_RequiredStore</t>
  </si>
  <si>
    <t>المخزن مطلوب</t>
  </si>
  <si>
    <t>src/test/java/StoreTest/StoreScenarioTest.java:126</t>
  </si>
  <si>
    <t>SM_ZeroQuantity</t>
  </si>
  <si>
    <t>رفض الكمية الصفرية</t>
  </si>
  <si>
    <t>src/test/java/StoreTest/StoreScenarioTest.java:127</t>
  </si>
  <si>
    <t>SM_NegativeQuantity</t>
  </si>
  <si>
    <t>رفض الكمية السالبة</t>
  </si>
  <si>
    <t>src/test/java/StoreTest/StoreScenarioTest.java:128</t>
  </si>
  <si>
    <t>SM_DecimalQuantity</t>
  </si>
  <si>
    <t>قبول كمية كسرية والتحقق من أثرها على الرصيد</t>
  </si>
  <si>
    <t>src/test/java/StoreTest/StoreScenarioTest.java:129</t>
  </si>
  <si>
    <t>SM_StockBalanceBoundary</t>
  </si>
  <si>
    <t>كمية كبيرة صحيحة والوصول لحد الرصيد في حركات الخصم</t>
  </si>
  <si>
    <t>src/test/java/StoreTest/StoreScenarioTest.java:130</t>
  </si>
  <si>
    <t>SM_LineCalculations</t>
  </si>
  <si>
    <t>حساب إجمالي التكلفة وسعر البيع حسب أعمدة الشاشة</t>
  </si>
  <si>
    <t>src/test/java/StoreTest/StoreScenarioTest.java:131</t>
  </si>
  <si>
    <t>SM_RemoveItem</t>
  </si>
  <si>
    <t>حذف سطر صنف مملوك للاختبار قبل الحفظ</t>
  </si>
  <si>
    <t>src/test/java/StoreTest/StoreScenarioTest.java:147</t>
  </si>
  <si>
    <t>SM_DuplicateItem</t>
  </si>
  <si>
    <t>إضافة نفس الصنف لا تنشئ سطرين متطابقين</t>
  </si>
  <si>
    <t>src/test/java/StoreTest/StoreScenarioTest.java:148</t>
  </si>
  <si>
    <t>SM_ListStructure</t>
  </si>
  <si>
    <t>عرض هيكل قائمة سندات المخازن</t>
  </si>
  <si>
    <t>src/test/java/StoreTest/StoreScenarioTest.java:150</t>
  </si>
  <si>
    <t>SM_ExportPdf</t>
  </si>
  <si>
    <t>تصدير PDF فعلي لقائمة السندات</t>
  </si>
  <si>
    <t>src/test/java/StoreTest/StoreScenarioTest.java:151</t>
  </si>
  <si>
    <t>SM_ExportExcel</t>
  </si>
  <si>
    <t>تصدير Excel فعلي لقائمة السندات</t>
  </si>
  <si>
    <t>src/test/java/StoreTest/StoreScenarioTest.java:152</t>
  </si>
  <si>
    <t>SM_SearchAndReset</t>
  </si>
  <si>
    <t>البحث عن سند الاختبار وتصفير نتيجة بحث غير موجود</t>
  </si>
  <si>
    <t>src/test/java/StoreTest/StoreScenarioTest.java:154</t>
  </si>
  <si>
    <t>TransBetweenStoreTest</t>
  </si>
  <si>
    <t>إنشاء تحويل بين المخازن باختيار الأصناف من القائمة</t>
  </si>
  <si>
    <t>src/test/java/StoreTest/TransBetweenStoreTest.java:11</t>
  </si>
  <si>
    <t>TransBetweenStoreAddWWithBarcodeTest</t>
  </si>
  <si>
    <t>إنشاء تحويل بين المخازن باستخدام الباركود</t>
  </si>
  <si>
    <t>src/test/java/StoreTest/TransBetweenStoreTest.java:13</t>
  </si>
  <si>
    <t>TransBetweenStoreAddWithNameTest</t>
  </si>
  <si>
    <t>إنشاء تحويل بين المخازن باستخدام اسم الصنف</t>
  </si>
  <si>
    <t>src/test/java/StoreTest/TransBetweenStoreTest.java:15</t>
  </si>
  <si>
    <t>EditTransBetweenStore</t>
  </si>
  <si>
    <t>تعديل عملية تحويل بين المخازن</t>
  </si>
  <si>
    <t>src/test/java/StoreTest/TransBetweenStoreTest.java:17</t>
  </si>
  <si>
    <t>DeleteAllTest</t>
  </si>
  <si>
    <t>src/test/java/StoreTest/TransBetweenStoreTest.java:19</t>
  </si>
  <si>
    <t>AssertToStoreRequired</t>
  </si>
  <si>
    <t>التحقق من إلزامية اختيار مخزن الوجهة</t>
  </si>
  <si>
    <t>src/test/java/StoreTest/TransBetweenStoreTest.java:21</t>
  </si>
  <si>
    <t>AssertErorrWhenChosenOneStore</t>
  </si>
  <si>
    <t>التحقق من عدم إضافة أصناف قبل اختيار مخزن الوجهة</t>
  </si>
  <si>
    <t>src/test/java/StoreTest/TransBetweenStoreTest.java:23</t>
  </si>
  <si>
    <t>CantChosenSameStore</t>
  </si>
  <si>
    <t>التحقق من عدم اختيار نفس المخزن كمصدر ووجهة</t>
  </si>
  <si>
    <t>src/test/java/StoreTest/TransBetweenStoreTest.java:25</t>
  </si>
  <si>
    <t>CantSaveWithOutChosenProduct</t>
  </si>
  <si>
    <t>التحقق من عدم حفظ التحويل بدون أصناف</t>
  </si>
  <si>
    <t>src/test/java/StoreTest/TransBetweenStoreTest.java:27</t>
  </si>
  <si>
    <t>src/test/java/StoreTest/TransBetweenStoreTest.java:29</t>
  </si>
  <si>
    <t>كيفية تنفيذ الحالات وتسجيل النتائج</t>
  </si>
  <si>
    <t>الموضوع</t>
  </si>
  <si>
    <t>التعليمات</t>
  </si>
  <si>
    <t>الغرض</t>
  </si>
  <si>
    <t>حالات تنفيذ يدوي بالعربية لتسهيل البداية؛ الدليل Word يشرح النظام والتشغيل والنتائج.</t>
  </si>
  <si>
    <t>نطاق النسخة</t>
  </si>
  <si>
    <t>408 حالات أساسية ومقترحة؛ لا تدعي تحويل كل تعريف أو كل مسار في المشروع إلى حالة مانويل مستقلة.</t>
  </si>
  <si>
    <t>المصدر</t>
  </si>
  <si>
    <t>مراجعة Java وملفات السويت والتغطية والعقود الموجودة في المشروع بتاريخ 19 أكتوبر 2026؛ لا تنفيذ حي جديد.</t>
  </si>
  <si>
    <t>المستخرج من المشروع</t>
  </si>
  <si>
    <t>صياغة مانويل مبنية على السيناريو أو العقد في مرجع المشروع، وليست بالضرورة تطابقاً حرفياً لدالة واحدة.</t>
  </si>
  <si>
    <t>المقترح يحتاج اعتماد</t>
  </si>
  <si>
    <t>سيناريو أو توسيع تحقق لم تثبت متطلباته بالكامل من المشروع؛ يعتمد قبل استخدامه كبوابة إصدار.</t>
  </si>
  <si>
    <t>أول خطوة</t>
  </si>
  <si>
    <t>اختر الموديول ثم فلتر الشاشة والأولوية وأساس الحالة. راجع البيانات والمتوقع قبل التنفيذ.</t>
  </si>
  <si>
    <t>تجهيز البيانات</t>
  </si>
  <si>
    <t>استبدل QA-MAN-&lt;التاريخ&gt;-&lt;رقم الحالة&gt; بقيمة فريدة، وسجل أكواد السجلات. الأرقام أمثلة يدوية وليست بيانات تشغيل.</t>
  </si>
  <si>
    <t>التسجيل</t>
  </si>
  <si>
    <t>الأصفر خانات قابلة للتعبئة: الحالة والفعلي والمختبِر والتاريخ ورقم العيب. لا تسجل كلمات المرور.</t>
  </si>
  <si>
    <t>الحالة لم تبدأ في دورة التنفيذ الحالية. جميع الحالات تبدأ بهذه القيمة.</t>
  </si>
  <si>
    <t>الفعلي يطابق المتوقع؛ رفض حفظ غير صالح يعد نجاحاً للحالة.</t>
  </si>
  <si>
    <t>يمكن تنفيذ الحالة لكن الفعلي يخالف المتوقع؛ سجل رقم عيب ودليلاً.</t>
  </si>
  <si>
    <t>متطلب أو صلاحية أو إجراء يدوي غير متاح يمنع التحقق؛ اكتب السبب.</t>
  </si>
  <si>
    <t>الخيار غير مدعوم أو خارج الإصدار بقرار معتمد؛ اذكر السبب والقرار.</t>
  </si>
  <si>
    <t>ملاحظة العيوب</t>
  </si>
  <si>
    <t>العيب الموثق سابقاً ليس نتيجة حالية. احتفظ بالتوقع وأعد التنفيذ؛ لا تملأ النتيجة تلقائياً بالفشل.</t>
  </si>
  <si>
    <t>التنظيف</t>
  </si>
  <si>
    <t>بعد مجموعة الصفحة احذف التابع قبل المرجع وفق الصلاحيات؛ لا تحذف بيانات تشغيل أو تستخدم حذفاً عاماً.</t>
  </si>
  <si>
    <t>الفواتير المقيدة</t>
  </si>
  <si>
    <t>حذف تجهيز الأوتوميشن بصلاحية خاصة لا يعني وجود حق حذف يدوي؛ استخدم بيئة مخصصة وإجراء تنظيف معتمد.</t>
  </si>
  <si>
    <t>تتبع الأوتوميشن</t>
  </si>
  <si>
    <t>تعريفات دوال؛ الوراثة وDataProvider والمداخل المتوافقة تمنع مساواة العدد بعدد الحالات الفعلية.</t>
  </si>
  <si>
    <t>التحقق الآلي للملف</t>
  </si>
  <si>
    <t>معادلات الملخص مرتبطة بحالات التنفيذ. تمت مراجعة القيم والتصدير والعينات المرئية؛ لا يعد ذلك تنفيذ ERP.</t>
  </si>
  <si>
    <t>فجوات متعمدة</t>
  </si>
  <si>
    <t>الصلاحيات والتوازي وانقطاع الاتصال والتغطية الضريبية الكاملة تحتاج اعتماداً وتجهيزاً إضافيين؛ مقترحات التكامل منفصلة.</t>
  </si>
  <si>
    <t>التاريخ</t>
  </si>
  <si>
    <t>أدخل تاريخ Excel صالحاً في عمود تاريخ التنفيذ؛ العرض yyyy-mm-dd.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</si>
</sst>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5">
    <font>
      <sz val="11"/>
      <name val="Carlito"/>
    </font>
    <font>
      <sz val="11"/>
      <color rgb="FF172B4D"/>
      <name val="Arial"/>
    </font>
    <font>
      <b/>
      <sz val="16"/>
      <color rgb="FF172B4D"/>
      <name val="Arial"/>
    </font>
    <font>
      <sz val="11"/>
      <color rgb="FF596579"/>
      <name val="Arial"/>
    </font>
    <font>
      <b/>
      <sz val="11"/>
      <color rgb="FFFFFFFF"/>
      <name val="Arial"/>
    </font>
  </fonts>
  <fills count="6">
    <fill>
      <patternFill patternType="none"/>
    </fill>
    <fill>
      <patternFill patternType="gray125"/>
    </fill>
    <fill>
      <patternFill patternType="solid">
        <fgColor rgb="FF203B61"/>
      </patternFill>
    </fill>
    <fill>
      <patternFill patternType="solid">
        <fgColor rgb="FFF3F6FA"/>
      </patternFill>
    </fill>
    <fill>
      <patternFill patternType="solid">
        <fgColor rgb="FFFFF2CC"/>
      </patternFill>
    </fill>
    <fill>
      <patternFill patternType="solid">
        <fgColor rgb="FFDCE6F1"/>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horizontal="right" vertical="top" readingOrder="2"/>
    </xf>
    <xf numFmtId="0" fontId="2" fillId="0" borderId="0" xfId="0" applyFont="1" applyAlignment="1">
      <alignment horizontal="right" vertical="top" readingOrder="2"/>
    </xf>
    <xf numFmtId="0" fontId="3" fillId="0" borderId="0" xfId="0" applyFont="1" applyAlignment="1">
      <alignment horizontal="right" vertical="top" readingOrder="2"/>
    </xf>
    <xf numFmtId="0" fontId="4" fillId="2" borderId="0" xfId="0" applyFont="1" applyFill="1" applyAlignment="1">
      <alignment horizontal="right" vertical="top" wrapText="1" readingOrder="2"/>
    </xf>
    <xf numFmtId="0" fontId="4" fillId="2" borderId="0" xfId="0" applyFont="1" applyFill="1" applyAlignment="1">
      <alignment horizontal="center" vertical="center" wrapText="1" readingOrder="2"/>
    </xf>
    <xf numFmtId="0" fontId="1" fillId="0" borderId="0" xfId="0" applyFont="1" applyAlignment="1">
      <alignment horizontal="right" vertical="top" wrapText="1" readingOrder="2"/>
    </xf>
    <xf numFmtId="0" fontId="1" fillId="3" borderId="0" xfId="0" applyFont="1" applyFill="1" applyAlignment="1">
      <alignment horizontal="right" vertical="top" wrapText="1" readingOrder="2"/>
    </xf>
    <xf numFmtId="0" fontId="1" fillId="4" borderId="0" xfId="0" applyFont="1" applyFill="1" applyAlignment="1">
      <alignment horizontal="right" vertical="top" wrapText="1" readingOrder="2"/>
    </xf>
    <xf numFmtId="164" fontId="1" fillId="4" borderId="0" xfId="0" applyNumberFormat="1" applyFont="1" applyFill="1" applyAlignment="1">
      <alignment horizontal="right" vertical="top" wrapText="1" readingOrder="2"/>
    </xf>
    <xf numFmtId="165" fontId="1" fillId="0" borderId="0" xfId="0" applyNumberFormat="1" applyFont="1" applyAlignment="1">
      <alignment horizontal="right" vertical="top" readingOrder="2"/>
    </xf>
    <xf numFmtId="0" fontId="1" fillId="5" borderId="0" xfId="0" applyFont="1" applyFill="1" applyAlignment="1">
      <alignment horizontal="right" vertical="top" readingOrder="2"/>
    </xf>
    <xf numFmtId="165" fontId="1" fillId="5" borderId="0" xfId="0" applyNumberFormat="1" applyFont="1" applyFill="1" applyAlignment="1">
      <alignment horizontal="right" vertical="top" readingOrder="2"/>
    </xf>
  </cellXfs>
  <cellStyles count="1">
    <cellStyle name="Normal" xfId="0" builtinId="0"/>
  </cellStyles>
  <dxfs count="20">
    <dxf>
      <font>
        <color rgb="FF9C6500"/>
      </font>
      <fill>
        <patternFill patternType="solid">
          <bgColor rgb="FFFCE4D6"/>
        </patternFill>
      </fill>
    </dxf>
    <dxf>
      <font>
        <b/>
        <color rgb="FF9C0006"/>
      </font>
      <fill>
        <patternFill patternType="solid">
          <bgColor rgb="FFFCE4D6"/>
        </patternFill>
      </fill>
    </dxf>
    <dxf>
      <font>
        <color rgb="FF9C6500"/>
      </font>
      <fill>
        <patternFill patternType="solid">
          <bgColor rgb="FFFCE4D6"/>
        </patternFill>
      </fill>
    </dxf>
    <dxf>
      <font>
        <b/>
        <color rgb="FF9C0006"/>
      </font>
      <fill>
        <patternFill patternType="solid">
          <bgColor rgb="FFFCE4D6"/>
        </patternFill>
      </fill>
    </dxf>
    <dxf>
      <font>
        <color rgb="FF9C6500"/>
      </font>
      <fill>
        <patternFill patternType="solid">
          <bgColor rgb="FFFCE4D6"/>
        </patternFill>
      </fill>
    </dxf>
    <dxf>
      <font>
        <b/>
        <color rgb="FF9C0006"/>
      </font>
      <fill>
        <patternFill patternType="solid">
          <bgColor rgb="FFFCE4D6"/>
        </patternFill>
      </fill>
    </dxf>
    <dxf>
      <font>
        <color rgb="FF9C6500"/>
      </font>
      <fill>
        <patternFill patternType="solid">
          <bgColor rgb="FFFCE4D6"/>
        </patternFill>
      </fill>
    </dxf>
    <dxf>
      <font>
        <b/>
        <color rgb="FF9C0006"/>
      </font>
      <fill>
        <patternFill patternType="solid">
          <bgColor rgb="FFFCE4D6"/>
        </patternFill>
      </fill>
    </dxf>
    <dxf>
      <font>
        <color rgb="FF9C6500"/>
      </font>
      <fill>
        <patternFill patternType="solid">
          <bgColor rgb="FFFCE4D6"/>
        </patternFill>
      </fill>
    </dxf>
    <dxf>
      <font>
        <b/>
        <color rgb="FF9C0006"/>
      </font>
      <fill>
        <patternFill patternType="solid">
          <bgColor rgb="FFFCE4D6"/>
        </patternFill>
      </fill>
    </dxf>
    <dxf>
      <font>
        <color rgb="FF9C6500"/>
      </font>
      <fill>
        <patternFill patternType="solid">
          <bgColor rgb="FFFCE4D6"/>
        </patternFill>
      </fill>
    </dxf>
    <dxf>
      <font>
        <b/>
        <color rgb="FF9C0006"/>
      </font>
      <fill>
        <patternFill patternType="solid">
          <bgColor rgb="FFFCE4D6"/>
        </patternFill>
      </fill>
    </dxf>
    <dxf>
      <font>
        <color rgb="FF9C6500"/>
      </font>
      <fill>
        <patternFill patternType="solid">
          <bgColor rgb="FFFCE4D6"/>
        </patternFill>
      </fill>
    </dxf>
    <dxf>
      <font>
        <b/>
        <color rgb="FF9C0006"/>
      </font>
      <fill>
        <patternFill patternType="solid">
          <bgColor rgb="FFFCE4D6"/>
        </patternFill>
      </fill>
    </dxf>
    <dxf>
      <font>
        <color rgb="FF9C6500"/>
      </font>
      <fill>
        <patternFill patternType="solid">
          <bgColor rgb="FFFCE4D6"/>
        </patternFill>
      </fill>
    </dxf>
    <dxf>
      <font>
        <b/>
        <color rgb="FF9C0006"/>
      </font>
      <fill>
        <patternFill patternType="solid">
          <bgColor rgb="FFFCE4D6"/>
        </patternFill>
      </fill>
    </dxf>
    <dxf>
      <font>
        <color rgb="FF9C6500"/>
      </font>
      <fill>
        <patternFill patternType="solid">
          <bgColor rgb="FFFCE4D6"/>
        </patternFill>
      </fill>
    </dxf>
    <dxf>
      <font>
        <b/>
        <color rgb="FF9C0006"/>
      </font>
      <fill>
        <patternFill patternType="solid">
          <bgColor rgb="FFFCE4D6"/>
        </patternFill>
      </fill>
    </dxf>
    <dxf>
      <font>
        <color rgb="FF9C6500"/>
      </font>
      <fill>
        <patternFill patternType="solid">
          <bgColor rgb="FFFCE4D6"/>
        </patternFill>
      </fill>
    </dxf>
    <dxf>
      <font>
        <b/>
        <color rgb="FF9C0006"/>
      </font>
      <fill>
        <patternFill patternType="solid">
          <bgColor rgb="FFFCE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ses_0" displayName="Cases_0" ref="A5:R8" totalsRowShown="0">
  <autoFilter ref="A5:R8" xr:uid="{00000000-0009-0000-0100-000001000000}"/>
  <tableColumns count="18">
    <tableColumn id="1" xr3:uid="{00000000-0010-0000-0000-000001000000}" name="رقم الحالة"/>
    <tableColumn id="2" xr3:uid="{00000000-0010-0000-0000-000002000000}" name="الشاشة"/>
    <tableColumn id="3" xr3:uid="{00000000-0010-0000-0000-000003000000}" name="السيناريو"/>
    <tableColumn id="4" xr3:uid="{00000000-0010-0000-0000-000004000000}" name="الأولوية"/>
    <tableColumn id="5" xr3:uid="{00000000-0010-0000-0000-000005000000}" name="المتطلبات السابقة"/>
    <tableColumn id="6" xr3:uid="{00000000-0010-0000-0000-000006000000}" name="بيانات الاختبار"/>
    <tableColumn id="7" xr3:uid="{00000000-0010-0000-0000-000007000000}" name="خطوات التنفيذ"/>
    <tableColumn id="8" xr3:uid="{00000000-0010-0000-0000-000008000000}" name="النتيجة المتوقعة"/>
    <tableColumn id="9" xr3:uid="{00000000-0010-0000-0000-000009000000}" name="حالة التنفيذ"/>
    <tableColumn id="10" xr3:uid="{00000000-0010-0000-0000-00000A000000}" name="النتيجة الفعلية"/>
    <tableColumn id="11" xr3:uid="{00000000-0010-0000-0000-00000B000000}" name="المختبِر"/>
    <tableColumn id="12" xr3:uid="{00000000-0010-0000-0000-00000C000000}" name="تاريخ التنفيذ"/>
    <tableColumn id="13" xr3:uid="{00000000-0010-0000-0000-00000D000000}" name="رقم العيب"/>
    <tableColumn id="14" xr3:uid="{00000000-0010-0000-0000-00000E000000}" name="التنظيف بعد المجموعة"/>
    <tableColumn id="15" xr3:uid="{00000000-0010-0000-0000-00000F000000}" name="مرجع المشروع"/>
    <tableColumn id="16" xr3:uid="{00000000-0010-0000-0000-000010000000}" name="أساس الحالة"/>
    <tableColumn id="17" xr3:uid="{00000000-0010-0000-0000-000011000000}" name="نوع الاختبار"/>
    <tableColumn id="18" xr3:uid="{00000000-0010-0000-0000-000012000000}" name="ملاحظات المراجعة"/>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ases_1" displayName="Cases_1" ref="A5:R68" totalsRowShown="0">
  <autoFilter ref="A5:R68" xr:uid="{00000000-0009-0000-0100-000002000000}"/>
  <tableColumns count="18">
    <tableColumn id="1" xr3:uid="{00000000-0010-0000-0100-000001000000}" name="رقم الحالة"/>
    <tableColumn id="2" xr3:uid="{00000000-0010-0000-0100-000002000000}" name="الشاشة"/>
    <tableColumn id="3" xr3:uid="{00000000-0010-0000-0100-000003000000}" name="السيناريو"/>
    <tableColumn id="4" xr3:uid="{00000000-0010-0000-0100-000004000000}" name="الأولوية"/>
    <tableColumn id="5" xr3:uid="{00000000-0010-0000-0100-000005000000}" name="المتطلبات السابقة"/>
    <tableColumn id="6" xr3:uid="{00000000-0010-0000-0100-000006000000}" name="بيانات الاختبار"/>
    <tableColumn id="7" xr3:uid="{00000000-0010-0000-0100-000007000000}" name="خطوات التنفيذ"/>
    <tableColumn id="8" xr3:uid="{00000000-0010-0000-0100-000008000000}" name="النتيجة المتوقعة"/>
    <tableColumn id="9" xr3:uid="{00000000-0010-0000-0100-000009000000}" name="حالة التنفيذ"/>
    <tableColumn id="10" xr3:uid="{00000000-0010-0000-0100-00000A000000}" name="النتيجة الفعلية"/>
    <tableColumn id="11" xr3:uid="{00000000-0010-0000-0100-00000B000000}" name="المختبِر"/>
    <tableColumn id="12" xr3:uid="{00000000-0010-0000-0100-00000C000000}" name="تاريخ التنفيذ"/>
    <tableColumn id="13" xr3:uid="{00000000-0010-0000-0100-00000D000000}" name="رقم العيب"/>
    <tableColumn id="14" xr3:uid="{00000000-0010-0000-0100-00000E000000}" name="التنظيف بعد المجموعة"/>
    <tableColumn id="15" xr3:uid="{00000000-0010-0000-0100-00000F000000}" name="مرجع المشروع"/>
    <tableColumn id="16" xr3:uid="{00000000-0010-0000-0100-000010000000}" name="أساس الحالة"/>
    <tableColumn id="17" xr3:uid="{00000000-0010-0000-0100-000011000000}" name="نوع الاختبار"/>
    <tableColumn id="18" xr3:uid="{00000000-0010-0000-0100-000012000000}" name="ملاحظات المراجعة"/>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ases_2" displayName="Cases_2" ref="A5:R39" totalsRowShown="0">
  <autoFilter ref="A5:R39" xr:uid="{00000000-0009-0000-0100-000003000000}"/>
  <tableColumns count="18">
    <tableColumn id="1" xr3:uid="{00000000-0010-0000-0200-000001000000}" name="رقم الحالة"/>
    <tableColumn id="2" xr3:uid="{00000000-0010-0000-0200-000002000000}" name="الشاشة"/>
    <tableColumn id="3" xr3:uid="{00000000-0010-0000-0200-000003000000}" name="السيناريو"/>
    <tableColumn id="4" xr3:uid="{00000000-0010-0000-0200-000004000000}" name="الأولوية"/>
    <tableColumn id="5" xr3:uid="{00000000-0010-0000-0200-000005000000}" name="المتطلبات السابقة"/>
    <tableColumn id="6" xr3:uid="{00000000-0010-0000-0200-000006000000}" name="بيانات الاختبار"/>
    <tableColumn id="7" xr3:uid="{00000000-0010-0000-0200-000007000000}" name="خطوات التنفيذ"/>
    <tableColumn id="8" xr3:uid="{00000000-0010-0000-0200-000008000000}" name="النتيجة المتوقعة"/>
    <tableColumn id="9" xr3:uid="{00000000-0010-0000-0200-000009000000}" name="حالة التنفيذ"/>
    <tableColumn id="10" xr3:uid="{00000000-0010-0000-0200-00000A000000}" name="النتيجة الفعلية"/>
    <tableColumn id="11" xr3:uid="{00000000-0010-0000-0200-00000B000000}" name="المختبِر"/>
    <tableColumn id="12" xr3:uid="{00000000-0010-0000-0200-00000C000000}" name="تاريخ التنفيذ"/>
    <tableColumn id="13" xr3:uid="{00000000-0010-0000-0200-00000D000000}" name="رقم العيب"/>
    <tableColumn id="14" xr3:uid="{00000000-0010-0000-0200-00000E000000}" name="التنظيف بعد المجموعة"/>
    <tableColumn id="15" xr3:uid="{00000000-0010-0000-0200-00000F000000}" name="مرجع المشروع"/>
    <tableColumn id="16" xr3:uid="{00000000-0010-0000-0200-000010000000}" name="أساس الحالة"/>
    <tableColumn id="17" xr3:uid="{00000000-0010-0000-0200-000011000000}" name="نوع الاختبار"/>
    <tableColumn id="18" xr3:uid="{00000000-0010-0000-0200-000012000000}" name="ملاحظات المراجعة"/>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ases_3" displayName="Cases_3" ref="A5:R44" totalsRowShown="0">
  <autoFilter ref="A5:R44" xr:uid="{00000000-0009-0000-0100-000004000000}"/>
  <tableColumns count="18">
    <tableColumn id="1" xr3:uid="{00000000-0010-0000-0300-000001000000}" name="رقم الحالة"/>
    <tableColumn id="2" xr3:uid="{00000000-0010-0000-0300-000002000000}" name="الشاشة"/>
    <tableColumn id="3" xr3:uid="{00000000-0010-0000-0300-000003000000}" name="السيناريو"/>
    <tableColumn id="4" xr3:uid="{00000000-0010-0000-0300-000004000000}" name="الأولوية"/>
    <tableColumn id="5" xr3:uid="{00000000-0010-0000-0300-000005000000}" name="المتطلبات السابقة"/>
    <tableColumn id="6" xr3:uid="{00000000-0010-0000-0300-000006000000}" name="بيانات الاختبار"/>
    <tableColumn id="7" xr3:uid="{00000000-0010-0000-0300-000007000000}" name="خطوات التنفيذ"/>
    <tableColumn id="8" xr3:uid="{00000000-0010-0000-0300-000008000000}" name="النتيجة المتوقعة"/>
    <tableColumn id="9" xr3:uid="{00000000-0010-0000-0300-000009000000}" name="حالة التنفيذ"/>
    <tableColumn id="10" xr3:uid="{00000000-0010-0000-0300-00000A000000}" name="النتيجة الفعلية"/>
    <tableColumn id="11" xr3:uid="{00000000-0010-0000-0300-00000B000000}" name="المختبِر"/>
    <tableColumn id="12" xr3:uid="{00000000-0010-0000-0300-00000C000000}" name="تاريخ التنفيذ"/>
    <tableColumn id="13" xr3:uid="{00000000-0010-0000-0300-00000D000000}" name="رقم العيب"/>
    <tableColumn id="14" xr3:uid="{00000000-0010-0000-0300-00000E000000}" name="التنظيف بعد المجموعة"/>
    <tableColumn id="15" xr3:uid="{00000000-0010-0000-0300-00000F000000}" name="مرجع المشروع"/>
    <tableColumn id="16" xr3:uid="{00000000-0010-0000-0300-000010000000}" name="أساس الحالة"/>
    <tableColumn id="17" xr3:uid="{00000000-0010-0000-0300-000011000000}" name="نوع الاختبار"/>
    <tableColumn id="18" xr3:uid="{00000000-0010-0000-0300-000012000000}" name="ملاحظات المراجعة"/>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Cases_4" displayName="Cases_4" ref="A5:R80" totalsRowShown="0">
  <autoFilter ref="A5:R80" xr:uid="{00000000-0009-0000-0100-000005000000}"/>
  <tableColumns count="18">
    <tableColumn id="1" xr3:uid="{00000000-0010-0000-0400-000001000000}" name="رقم الحالة"/>
    <tableColumn id="2" xr3:uid="{00000000-0010-0000-0400-000002000000}" name="الشاشة"/>
    <tableColumn id="3" xr3:uid="{00000000-0010-0000-0400-000003000000}" name="السيناريو"/>
    <tableColumn id="4" xr3:uid="{00000000-0010-0000-0400-000004000000}" name="الأولوية"/>
    <tableColumn id="5" xr3:uid="{00000000-0010-0000-0400-000005000000}" name="المتطلبات السابقة"/>
    <tableColumn id="6" xr3:uid="{00000000-0010-0000-0400-000006000000}" name="بيانات الاختبار"/>
    <tableColumn id="7" xr3:uid="{00000000-0010-0000-0400-000007000000}" name="خطوات التنفيذ"/>
    <tableColumn id="8" xr3:uid="{00000000-0010-0000-0400-000008000000}" name="النتيجة المتوقعة"/>
    <tableColumn id="9" xr3:uid="{00000000-0010-0000-0400-000009000000}" name="حالة التنفيذ"/>
    <tableColumn id="10" xr3:uid="{00000000-0010-0000-0400-00000A000000}" name="النتيجة الفعلية"/>
    <tableColumn id="11" xr3:uid="{00000000-0010-0000-0400-00000B000000}" name="المختبِر"/>
    <tableColumn id="12" xr3:uid="{00000000-0010-0000-0400-00000C000000}" name="تاريخ التنفيذ"/>
    <tableColumn id="13" xr3:uid="{00000000-0010-0000-0400-00000D000000}" name="رقم العيب"/>
    <tableColumn id="14" xr3:uid="{00000000-0010-0000-0400-00000E000000}" name="التنظيف بعد المجموعة"/>
    <tableColumn id="15" xr3:uid="{00000000-0010-0000-0400-00000F000000}" name="مرجع المشروع"/>
    <tableColumn id="16" xr3:uid="{00000000-0010-0000-0400-000010000000}" name="أساس الحالة"/>
    <tableColumn id="17" xr3:uid="{00000000-0010-0000-0400-000011000000}" name="نوع الاختبار"/>
    <tableColumn id="18" xr3:uid="{00000000-0010-0000-0400-000012000000}" name="ملاحظات المراجعة"/>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Cases_5" displayName="Cases_5" ref="A5:R64" totalsRowShown="0">
  <autoFilter ref="A5:R64" xr:uid="{00000000-0009-0000-0100-000006000000}"/>
  <tableColumns count="18">
    <tableColumn id="1" xr3:uid="{00000000-0010-0000-0500-000001000000}" name="رقم الحالة"/>
    <tableColumn id="2" xr3:uid="{00000000-0010-0000-0500-000002000000}" name="الشاشة"/>
    <tableColumn id="3" xr3:uid="{00000000-0010-0000-0500-000003000000}" name="السيناريو"/>
    <tableColumn id="4" xr3:uid="{00000000-0010-0000-0500-000004000000}" name="الأولوية"/>
    <tableColumn id="5" xr3:uid="{00000000-0010-0000-0500-000005000000}" name="المتطلبات السابقة"/>
    <tableColumn id="6" xr3:uid="{00000000-0010-0000-0500-000006000000}" name="بيانات الاختبار"/>
    <tableColumn id="7" xr3:uid="{00000000-0010-0000-0500-000007000000}" name="خطوات التنفيذ"/>
    <tableColumn id="8" xr3:uid="{00000000-0010-0000-0500-000008000000}" name="النتيجة المتوقعة"/>
    <tableColumn id="9" xr3:uid="{00000000-0010-0000-0500-000009000000}" name="حالة التنفيذ"/>
    <tableColumn id="10" xr3:uid="{00000000-0010-0000-0500-00000A000000}" name="النتيجة الفعلية"/>
    <tableColumn id="11" xr3:uid="{00000000-0010-0000-0500-00000B000000}" name="المختبِر"/>
    <tableColumn id="12" xr3:uid="{00000000-0010-0000-0500-00000C000000}" name="تاريخ التنفيذ"/>
    <tableColumn id="13" xr3:uid="{00000000-0010-0000-0500-00000D000000}" name="رقم العيب"/>
    <tableColumn id="14" xr3:uid="{00000000-0010-0000-0500-00000E000000}" name="التنظيف بعد المجموعة"/>
    <tableColumn id="15" xr3:uid="{00000000-0010-0000-0500-00000F000000}" name="مرجع المشروع"/>
    <tableColumn id="16" xr3:uid="{00000000-0010-0000-0500-000010000000}" name="أساس الحالة"/>
    <tableColumn id="17" xr3:uid="{00000000-0010-0000-0500-000011000000}" name="نوع الاختبار"/>
    <tableColumn id="18" xr3:uid="{00000000-0010-0000-0500-000012000000}" name="ملاحظات المراجعة"/>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ases_6" displayName="Cases_6" ref="A5:R50" totalsRowShown="0">
  <autoFilter ref="A5:R50" xr:uid="{00000000-0009-0000-0100-000007000000}"/>
  <tableColumns count="18">
    <tableColumn id="1" xr3:uid="{00000000-0010-0000-0600-000001000000}" name="رقم الحالة"/>
    <tableColumn id="2" xr3:uid="{00000000-0010-0000-0600-000002000000}" name="الشاشة"/>
    <tableColumn id="3" xr3:uid="{00000000-0010-0000-0600-000003000000}" name="السيناريو"/>
    <tableColumn id="4" xr3:uid="{00000000-0010-0000-0600-000004000000}" name="الأولوية"/>
    <tableColumn id="5" xr3:uid="{00000000-0010-0000-0600-000005000000}" name="المتطلبات السابقة"/>
    <tableColumn id="6" xr3:uid="{00000000-0010-0000-0600-000006000000}" name="بيانات الاختبار"/>
    <tableColumn id="7" xr3:uid="{00000000-0010-0000-0600-000007000000}" name="خطوات التنفيذ"/>
    <tableColumn id="8" xr3:uid="{00000000-0010-0000-0600-000008000000}" name="النتيجة المتوقعة"/>
    <tableColumn id="9" xr3:uid="{00000000-0010-0000-0600-000009000000}" name="حالة التنفيذ"/>
    <tableColumn id="10" xr3:uid="{00000000-0010-0000-0600-00000A000000}" name="النتيجة الفعلية"/>
    <tableColumn id="11" xr3:uid="{00000000-0010-0000-0600-00000B000000}" name="المختبِر"/>
    <tableColumn id="12" xr3:uid="{00000000-0010-0000-0600-00000C000000}" name="تاريخ التنفيذ"/>
    <tableColumn id="13" xr3:uid="{00000000-0010-0000-0600-00000D000000}" name="رقم العيب"/>
    <tableColumn id="14" xr3:uid="{00000000-0010-0000-0600-00000E000000}" name="التنظيف بعد المجموعة"/>
    <tableColumn id="15" xr3:uid="{00000000-0010-0000-0600-00000F000000}" name="مرجع المشروع"/>
    <tableColumn id="16" xr3:uid="{00000000-0010-0000-0600-000010000000}" name="أساس الحالة"/>
    <tableColumn id="17" xr3:uid="{00000000-0010-0000-0600-000011000000}" name="نوع الاختبار"/>
    <tableColumn id="18" xr3:uid="{00000000-0010-0000-0600-000012000000}" name="ملاحظات المراجعة"/>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ases_7" displayName="Cases_7" ref="A5:R82" totalsRowShown="0">
  <autoFilter ref="A5:R82" xr:uid="{00000000-0009-0000-0100-000008000000}"/>
  <tableColumns count="18">
    <tableColumn id="1" xr3:uid="{00000000-0010-0000-0700-000001000000}" name="رقم الحالة"/>
    <tableColumn id="2" xr3:uid="{00000000-0010-0000-0700-000002000000}" name="الشاشة"/>
    <tableColumn id="3" xr3:uid="{00000000-0010-0000-0700-000003000000}" name="السيناريو"/>
    <tableColumn id="4" xr3:uid="{00000000-0010-0000-0700-000004000000}" name="الأولوية"/>
    <tableColumn id="5" xr3:uid="{00000000-0010-0000-0700-000005000000}" name="المتطلبات السابقة"/>
    <tableColumn id="6" xr3:uid="{00000000-0010-0000-0700-000006000000}" name="بيانات الاختبار"/>
    <tableColumn id="7" xr3:uid="{00000000-0010-0000-0700-000007000000}" name="خطوات التنفيذ"/>
    <tableColumn id="8" xr3:uid="{00000000-0010-0000-0700-000008000000}" name="النتيجة المتوقعة"/>
    <tableColumn id="9" xr3:uid="{00000000-0010-0000-0700-000009000000}" name="حالة التنفيذ"/>
    <tableColumn id="10" xr3:uid="{00000000-0010-0000-0700-00000A000000}" name="النتيجة الفعلية"/>
    <tableColumn id="11" xr3:uid="{00000000-0010-0000-0700-00000B000000}" name="المختبِر"/>
    <tableColumn id="12" xr3:uid="{00000000-0010-0000-0700-00000C000000}" name="تاريخ التنفيذ"/>
    <tableColumn id="13" xr3:uid="{00000000-0010-0000-0700-00000D000000}" name="رقم العيب"/>
    <tableColumn id="14" xr3:uid="{00000000-0010-0000-0700-00000E000000}" name="التنظيف بعد المجموعة"/>
    <tableColumn id="15" xr3:uid="{00000000-0010-0000-0700-00000F000000}" name="مرجع المشروع"/>
    <tableColumn id="16" xr3:uid="{00000000-0010-0000-0700-000010000000}" name="أساس الحالة"/>
    <tableColumn id="17" xr3:uid="{00000000-0010-0000-0700-000011000000}" name="نوع الاختبار"/>
    <tableColumn id="18" xr3:uid="{00000000-0010-0000-0700-000012000000}" name="ملاحظات المراجعة"/>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Cases_8" displayName="Cases_8" ref="A5:R14" totalsRowShown="0">
  <autoFilter ref="A5:R14" xr:uid="{00000000-0009-0000-0100-000009000000}"/>
  <tableColumns count="18">
    <tableColumn id="1" xr3:uid="{00000000-0010-0000-0800-000001000000}" name="رقم الحالة"/>
    <tableColumn id="2" xr3:uid="{00000000-0010-0000-0800-000002000000}" name="الشاشة"/>
    <tableColumn id="3" xr3:uid="{00000000-0010-0000-0800-000003000000}" name="السيناريو"/>
    <tableColumn id="4" xr3:uid="{00000000-0010-0000-0800-000004000000}" name="الأولوية"/>
    <tableColumn id="5" xr3:uid="{00000000-0010-0000-0800-000005000000}" name="المتطلبات السابقة"/>
    <tableColumn id="6" xr3:uid="{00000000-0010-0000-0800-000006000000}" name="بيانات الاختبار"/>
    <tableColumn id="7" xr3:uid="{00000000-0010-0000-0800-000007000000}" name="خطوات التنفيذ"/>
    <tableColumn id="8" xr3:uid="{00000000-0010-0000-0800-000008000000}" name="النتيجة المتوقعة"/>
    <tableColumn id="9" xr3:uid="{00000000-0010-0000-0800-000009000000}" name="حالة التنفيذ"/>
    <tableColumn id="10" xr3:uid="{00000000-0010-0000-0800-00000A000000}" name="النتيجة الفعلية"/>
    <tableColumn id="11" xr3:uid="{00000000-0010-0000-0800-00000B000000}" name="المختبِر"/>
    <tableColumn id="12" xr3:uid="{00000000-0010-0000-0800-00000C000000}" name="تاريخ التنفيذ"/>
    <tableColumn id="13" xr3:uid="{00000000-0010-0000-0800-00000D000000}" name="رقم العيب"/>
    <tableColumn id="14" xr3:uid="{00000000-0010-0000-0800-00000E000000}" name="التنظيف بعد المجموعة"/>
    <tableColumn id="15" xr3:uid="{00000000-0010-0000-0800-00000F000000}" name="مرجع المشروع"/>
    <tableColumn id="16" xr3:uid="{00000000-0010-0000-0800-000010000000}" name="أساس الحالة"/>
    <tableColumn id="17" xr3:uid="{00000000-0010-0000-0800-000011000000}" name="نوع الاختبار"/>
    <tableColumn id="18" xr3:uid="{00000000-0010-0000-0800-000012000000}" name="ملاحظات المراجعة"/>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Cases_9" displayName="Cases_9" ref="A5:R9" totalsRowShown="0">
  <autoFilter ref="A5:R9" xr:uid="{00000000-0009-0000-0100-00000A000000}"/>
  <tableColumns count="18">
    <tableColumn id="1" xr3:uid="{00000000-0010-0000-0900-000001000000}" name="رقم الحالة"/>
    <tableColumn id="2" xr3:uid="{00000000-0010-0000-0900-000002000000}" name="الشاشة"/>
    <tableColumn id="3" xr3:uid="{00000000-0010-0000-0900-000003000000}" name="السيناريو"/>
    <tableColumn id="4" xr3:uid="{00000000-0010-0000-0900-000004000000}" name="الأولوية"/>
    <tableColumn id="5" xr3:uid="{00000000-0010-0000-0900-000005000000}" name="المتطلبات السابقة"/>
    <tableColumn id="6" xr3:uid="{00000000-0010-0000-0900-000006000000}" name="بيانات الاختبار"/>
    <tableColumn id="7" xr3:uid="{00000000-0010-0000-0900-000007000000}" name="خطوات التنفيذ"/>
    <tableColumn id="8" xr3:uid="{00000000-0010-0000-0900-000008000000}" name="النتيجة المتوقعة"/>
    <tableColumn id="9" xr3:uid="{00000000-0010-0000-0900-000009000000}" name="حالة التنفيذ"/>
    <tableColumn id="10" xr3:uid="{00000000-0010-0000-0900-00000A000000}" name="النتيجة الفعلية"/>
    <tableColumn id="11" xr3:uid="{00000000-0010-0000-0900-00000B000000}" name="المختبِر"/>
    <tableColumn id="12" xr3:uid="{00000000-0010-0000-0900-00000C000000}" name="تاريخ التنفيذ"/>
    <tableColumn id="13" xr3:uid="{00000000-0010-0000-0900-00000D000000}" name="رقم العيب"/>
    <tableColumn id="14" xr3:uid="{00000000-0010-0000-0900-00000E000000}" name="التنظيف بعد المجموعة"/>
    <tableColumn id="15" xr3:uid="{00000000-0010-0000-0900-00000F000000}" name="مرجع المشروع"/>
    <tableColumn id="16" xr3:uid="{00000000-0010-0000-0900-000010000000}" name="أساس الحالة"/>
    <tableColumn id="17" xr3:uid="{00000000-0010-0000-0900-000011000000}" name="نوع الاختبار"/>
    <tableColumn id="18" xr3:uid="{00000000-0010-0000-0900-000012000000}" name="ملاحظات المراجعة"/>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AutomationTrace" displayName="AutomationTrace" ref="A5:G931" totalsRowShown="0">
  <tableColumns count="7">
    <tableColumn id="1" xr3:uid="{00000000-0010-0000-0A00-000001000000}" name="الكلاس"/>
    <tableColumn id="2" xr3:uid="{00000000-0010-0000-0A00-000002000000}" name="الدالة"/>
    <tableColumn id="3" xr3:uid="{00000000-0010-0000-0A00-000003000000}" name="وصف المصدر"/>
    <tableColumn id="4" xr3:uid="{00000000-0010-0000-0A00-000004000000}" name="التصنيف"/>
    <tableColumn id="5" xr3:uid="{00000000-0010-0000-0A00-000005000000}" name="حالة التعريف"/>
    <tableColumn id="6" xr3:uid="{00000000-0010-0000-0A00-000006000000}" name="المصدر والسطر"/>
    <tableColumn id="7" xr3:uid="{00000000-0010-0000-0A00-000007000000}" name="حدود القراءة"/>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03B61"/>
  </sheetPr>
  <dimension ref="A1:I21"/>
  <sheetViews>
    <sheetView showGridLines="0" rightToLeft="1" tabSelected="1" zoomScale="85" workbookViewId="0"/>
  </sheetViews>
  <sheetFormatPr defaultRowHeight="14.25"/>
  <cols>
    <col min="1" max="1" width="28" customWidth="1"/>
    <col min="2" max="9" width="18" customWidth="1"/>
  </cols>
  <sheetData>
    <row r="1" spans="1:9">
      <c r="A1" s="1"/>
      <c r="B1" s="1"/>
      <c r="C1" s="1"/>
      <c r="D1" s="1"/>
      <c r="E1" s="1"/>
      <c r="F1" s="1"/>
      <c r="G1" s="1"/>
      <c r="H1" s="1"/>
      <c r="I1" s="1"/>
    </row>
    <row r="2" spans="1:9" ht="30" customHeight="1">
      <c r="A2" s="2" t="s">
        <v>0</v>
      </c>
      <c r="B2" s="1"/>
      <c r="C2" s="1"/>
      <c r="D2" s="1"/>
      <c r="E2" s="1"/>
      <c r="F2" s="1"/>
      <c r="G2" s="1"/>
      <c r="H2" s="1"/>
      <c r="I2" s="1"/>
    </row>
    <row r="3" spans="1:9">
      <c r="A3" s="1" t="s">
        <v>1</v>
      </c>
      <c r="B3" s="1"/>
      <c r="C3" s="1"/>
      <c r="D3" s="1"/>
      <c r="E3" s="1"/>
      <c r="F3" s="1"/>
      <c r="G3" s="1"/>
      <c r="H3" s="1"/>
      <c r="I3" s="1"/>
    </row>
    <row r="4" spans="1:9">
      <c r="A4" s="1"/>
      <c r="B4" s="1"/>
      <c r="C4" s="1"/>
      <c r="D4" s="1"/>
      <c r="E4" s="1"/>
      <c r="F4" s="1"/>
      <c r="G4" s="1"/>
      <c r="H4" s="1"/>
      <c r="I4" s="1"/>
    </row>
    <row r="5" spans="1:9" ht="35.1" customHeight="1">
      <c r="A5" s="4" t="s">
        <v>2</v>
      </c>
      <c r="B5" s="4" t="s">
        <v>3</v>
      </c>
      <c r="C5" s="4" t="s">
        <v>4</v>
      </c>
      <c r="D5" s="4" t="s">
        <v>5</v>
      </c>
      <c r="E5" s="4" t="s">
        <v>6</v>
      </c>
      <c r="F5" s="4" t="s">
        <v>7</v>
      </c>
      <c r="G5" s="4" t="s">
        <v>8</v>
      </c>
      <c r="H5" s="4" t="s">
        <v>9</v>
      </c>
      <c r="I5" s="4" t="s">
        <v>10</v>
      </c>
    </row>
    <row r="6" spans="1:9" ht="30" customHeight="1">
      <c r="A6" s="1" t="s">
        <v>11</v>
      </c>
      <c r="B6" s="1">
        <f>COUNTA(الدخول!A6:A8)</f>
        <v>3</v>
      </c>
      <c r="C6" s="1">
        <f>COUNTIF(الدخول!I6:I8,"لم تنفذ")</f>
        <v>3</v>
      </c>
      <c r="D6" s="1">
        <f>COUNTIF(الدخول!I6:I8,"نجحت")</f>
        <v>0</v>
      </c>
      <c r="E6" s="1">
        <f>COUNTIF(الدخول!I6:I8,"فشلت")</f>
        <v>0</v>
      </c>
      <c r="F6" s="1">
        <f>COUNTIF(الدخول!I6:I8,"محجوبة")</f>
        <v>0</v>
      </c>
      <c r="G6" s="1">
        <f>COUNTIF(الدخول!I6:I8,"غير منطبقة")</f>
        <v>0</v>
      </c>
      <c r="H6" s="10">
        <f t="shared" ref="H6:H15" si="0">IFERROR((D6+E6)/(B6-G6),0)</f>
        <v>0</v>
      </c>
      <c r="I6" s="10">
        <f t="shared" ref="I6:I15" si="1">IFERROR(D6/(D6+E6),0)</f>
        <v>0</v>
      </c>
    </row>
    <row r="7" spans="1:9" ht="30" customHeight="1">
      <c r="A7" s="1" t="s">
        <v>12</v>
      </c>
      <c r="B7" s="1">
        <f>COUNTA('البيانات الأساسية'!A6:A68)</f>
        <v>63</v>
      </c>
      <c r="C7" s="1">
        <f>COUNTIF('البيانات الأساسية'!I6:I68,"لم تنفذ")</f>
        <v>63</v>
      </c>
      <c r="D7" s="1">
        <f>COUNTIF('البيانات الأساسية'!I6:I68,"نجحت")</f>
        <v>0</v>
      </c>
      <c r="E7" s="1">
        <f>COUNTIF('البيانات الأساسية'!I6:I68,"فشلت")</f>
        <v>0</v>
      </c>
      <c r="F7" s="1">
        <f>COUNTIF('البيانات الأساسية'!I6:I68,"محجوبة")</f>
        <v>0</v>
      </c>
      <c r="G7" s="1">
        <f>COUNTIF('البيانات الأساسية'!I6:I68,"غير منطبقة")</f>
        <v>0</v>
      </c>
      <c r="H7" s="10">
        <f t="shared" si="0"/>
        <v>0</v>
      </c>
      <c r="I7" s="10">
        <f t="shared" si="1"/>
        <v>0</v>
      </c>
    </row>
    <row r="8" spans="1:9" ht="30" customHeight="1">
      <c r="A8" s="1" t="s">
        <v>13</v>
      </c>
      <c r="B8" s="1">
        <f>COUNTA(المتعاملون!A6:A39)</f>
        <v>34</v>
      </c>
      <c r="C8" s="1">
        <f>COUNTIF(المتعاملون!I6:I39,"لم تنفذ")</f>
        <v>34</v>
      </c>
      <c r="D8" s="1">
        <f>COUNTIF(المتعاملون!I6:I39,"نجحت")</f>
        <v>0</v>
      </c>
      <c r="E8" s="1">
        <f>COUNTIF(المتعاملون!I6:I39,"فشلت")</f>
        <v>0</v>
      </c>
      <c r="F8" s="1">
        <f>COUNTIF(المتعاملون!I6:I39,"محجوبة")</f>
        <v>0</v>
      </c>
      <c r="G8" s="1">
        <f>COUNTIF(المتعاملون!I6:I39,"غير منطبقة")</f>
        <v>0</v>
      </c>
      <c r="H8" s="10">
        <f t="shared" si="0"/>
        <v>0</v>
      </c>
      <c r="I8" s="10">
        <f t="shared" si="1"/>
        <v>0</v>
      </c>
    </row>
    <row r="9" spans="1:9" ht="30" customHeight="1">
      <c r="A9" s="1" t="s">
        <v>14</v>
      </c>
      <c r="B9" s="1">
        <f>COUNTA(الأصناف!A6:A44)</f>
        <v>39</v>
      </c>
      <c r="C9" s="1">
        <f>COUNTIF(الأصناف!I6:I44,"لم تنفذ")</f>
        <v>39</v>
      </c>
      <c r="D9" s="1">
        <f>COUNTIF(الأصناف!I6:I44,"نجحت")</f>
        <v>0</v>
      </c>
      <c r="E9" s="1">
        <f>COUNTIF(الأصناف!I6:I44,"فشلت")</f>
        <v>0</v>
      </c>
      <c r="F9" s="1">
        <f>COUNTIF(الأصناف!I6:I44,"محجوبة")</f>
        <v>0</v>
      </c>
      <c r="G9" s="1">
        <f>COUNTIF(الأصناف!I6:I44,"غير منطبقة")</f>
        <v>0</v>
      </c>
      <c r="H9" s="10">
        <f t="shared" si="0"/>
        <v>0</v>
      </c>
      <c r="I9" s="10">
        <f t="shared" si="1"/>
        <v>0</v>
      </c>
    </row>
    <row r="10" spans="1:9" ht="30" customHeight="1">
      <c r="A10" s="1" t="s">
        <v>15</v>
      </c>
      <c r="B10" s="1">
        <f>COUNTA(المبيعات!A6:A80)</f>
        <v>75</v>
      </c>
      <c r="C10" s="1">
        <f>COUNTIF(المبيعات!I6:I80,"لم تنفذ")</f>
        <v>75</v>
      </c>
      <c r="D10" s="1">
        <f>COUNTIF(المبيعات!I6:I80,"نجحت")</f>
        <v>0</v>
      </c>
      <c r="E10" s="1">
        <f>COUNTIF(المبيعات!I6:I80,"فشلت")</f>
        <v>0</v>
      </c>
      <c r="F10" s="1">
        <f>COUNTIF(المبيعات!I6:I80,"محجوبة")</f>
        <v>0</v>
      </c>
      <c r="G10" s="1">
        <f>COUNTIF(المبيعات!I6:I80,"غير منطبقة")</f>
        <v>0</v>
      </c>
      <c r="H10" s="10">
        <f t="shared" si="0"/>
        <v>0</v>
      </c>
      <c r="I10" s="10">
        <f t="shared" si="1"/>
        <v>0</v>
      </c>
    </row>
    <row r="11" spans="1:9" ht="30" customHeight="1">
      <c r="A11" s="1" t="s">
        <v>16</v>
      </c>
      <c r="B11" s="1">
        <f>COUNTA(المشتريات!A6:A64)</f>
        <v>59</v>
      </c>
      <c r="C11" s="1">
        <f>COUNTIF(المشتريات!I6:I64,"لم تنفذ")</f>
        <v>59</v>
      </c>
      <c r="D11" s="1">
        <f>COUNTIF(المشتريات!I6:I64,"نجحت")</f>
        <v>0</v>
      </c>
      <c r="E11" s="1">
        <f>COUNTIF(المشتريات!I6:I64,"فشلت")</f>
        <v>0</v>
      </c>
      <c r="F11" s="1">
        <f>COUNTIF(المشتريات!I6:I64,"محجوبة")</f>
        <v>0</v>
      </c>
      <c r="G11" s="1">
        <f>COUNTIF(المشتريات!I6:I64,"غير منطبقة")</f>
        <v>0</v>
      </c>
      <c r="H11" s="10">
        <f t="shared" si="0"/>
        <v>0</v>
      </c>
      <c r="I11" s="10">
        <f t="shared" si="1"/>
        <v>0</v>
      </c>
    </row>
    <row r="12" spans="1:9" ht="30" customHeight="1">
      <c r="A12" s="1" t="s">
        <v>17</v>
      </c>
      <c r="B12" s="1">
        <f>COUNTA(المخازن!A6:A50)</f>
        <v>45</v>
      </c>
      <c r="C12" s="1">
        <f>COUNTIF(المخازن!I6:I50,"لم تنفذ")</f>
        <v>45</v>
      </c>
      <c r="D12" s="1">
        <f>COUNTIF(المخازن!I6:I50,"نجحت")</f>
        <v>0</v>
      </c>
      <c r="E12" s="1">
        <f>COUNTIF(المخازن!I6:I50,"فشلت")</f>
        <v>0</v>
      </c>
      <c r="F12" s="1">
        <f>COUNTIF(المخازن!I6:I50,"محجوبة")</f>
        <v>0</v>
      </c>
      <c r="G12" s="1">
        <f>COUNTIF(المخازن!I6:I50,"غير منطبقة")</f>
        <v>0</v>
      </c>
      <c r="H12" s="10">
        <f t="shared" si="0"/>
        <v>0</v>
      </c>
      <c r="I12" s="10">
        <f t="shared" si="1"/>
        <v>0</v>
      </c>
    </row>
    <row r="13" spans="1:9" ht="30" customHeight="1">
      <c r="A13" s="1" t="s">
        <v>18</v>
      </c>
      <c r="B13" s="1">
        <f>COUNTA('الحركات المالية'!A6:A82)</f>
        <v>77</v>
      </c>
      <c r="C13" s="1">
        <f>COUNTIF('الحركات المالية'!I6:I82,"لم تنفذ")</f>
        <v>77</v>
      </c>
      <c r="D13" s="1">
        <f>COUNTIF('الحركات المالية'!I6:I82,"نجحت")</f>
        <v>0</v>
      </c>
      <c r="E13" s="1">
        <f>COUNTIF('الحركات المالية'!I6:I82,"فشلت")</f>
        <v>0</v>
      </c>
      <c r="F13" s="1">
        <f>COUNTIF('الحركات المالية'!I6:I82,"محجوبة")</f>
        <v>0</v>
      </c>
      <c r="G13" s="1">
        <f>COUNTIF('الحركات المالية'!I6:I82,"غير منطبقة")</f>
        <v>0</v>
      </c>
      <c r="H13" s="10">
        <f t="shared" si="0"/>
        <v>0</v>
      </c>
      <c r="I13" s="10">
        <f t="shared" si="1"/>
        <v>0</v>
      </c>
    </row>
    <row r="14" spans="1:9" ht="30" customHeight="1">
      <c r="A14" s="1" t="s">
        <v>19</v>
      </c>
      <c r="B14" s="1">
        <f>COUNTA('القيود اليومية'!A6:A14)</f>
        <v>9</v>
      </c>
      <c r="C14" s="1">
        <f>COUNTIF('القيود اليومية'!I6:I14,"لم تنفذ")</f>
        <v>9</v>
      </c>
      <c r="D14" s="1">
        <f>COUNTIF('القيود اليومية'!I6:I14,"نجحت")</f>
        <v>0</v>
      </c>
      <c r="E14" s="1">
        <f>COUNTIF('القيود اليومية'!I6:I14,"فشلت")</f>
        <v>0</v>
      </c>
      <c r="F14" s="1">
        <f>COUNTIF('القيود اليومية'!I6:I14,"محجوبة")</f>
        <v>0</v>
      </c>
      <c r="G14" s="1">
        <f>COUNTIF('القيود اليومية'!I6:I14,"غير منطبقة")</f>
        <v>0</v>
      </c>
      <c r="H14" s="10">
        <f t="shared" si="0"/>
        <v>0</v>
      </c>
      <c r="I14" s="10">
        <f t="shared" si="1"/>
        <v>0</v>
      </c>
    </row>
    <row r="15" spans="1:9" ht="30" customHeight="1">
      <c r="A15" s="1" t="s">
        <v>20</v>
      </c>
      <c r="B15" s="1">
        <f>COUNTA('تكامل مقترح'!A6:A9)</f>
        <v>4</v>
      </c>
      <c r="C15" s="1">
        <f>COUNTIF('تكامل مقترح'!I6:I9,"لم تنفذ")</f>
        <v>4</v>
      </c>
      <c r="D15" s="1">
        <f>COUNTIF('تكامل مقترح'!I6:I9,"نجحت")</f>
        <v>0</v>
      </c>
      <c r="E15" s="1">
        <f>COUNTIF('تكامل مقترح'!I6:I9,"فشلت")</f>
        <v>0</v>
      </c>
      <c r="F15" s="1">
        <f>COUNTIF('تكامل مقترح'!I6:I9,"محجوبة")</f>
        <v>0</v>
      </c>
      <c r="G15" s="1">
        <f>COUNTIF('تكامل مقترح'!I6:I9,"غير منطبقة")</f>
        <v>0</v>
      </c>
      <c r="H15" s="10">
        <f t="shared" si="0"/>
        <v>0</v>
      </c>
      <c r="I15" s="10">
        <f t="shared" si="1"/>
        <v>0</v>
      </c>
    </row>
    <row r="16" spans="1:9" ht="30" customHeight="1">
      <c r="A16" s="1"/>
      <c r="B16" s="1"/>
      <c r="C16" s="1"/>
      <c r="D16" s="1"/>
      <c r="E16" s="1"/>
      <c r="F16" s="1"/>
      <c r="G16" s="1"/>
      <c r="H16" s="10"/>
      <c r="I16" s="10"/>
    </row>
    <row r="17" spans="1:9" ht="30" customHeight="1">
      <c r="A17" s="11" t="s">
        <v>21</v>
      </c>
      <c r="B17" s="11">
        <f t="shared" ref="B17:G17" si="2">SUM(B6:B15)</f>
        <v>408</v>
      </c>
      <c r="C17" s="11">
        <f t="shared" si="2"/>
        <v>408</v>
      </c>
      <c r="D17" s="11">
        <f t="shared" si="2"/>
        <v>0</v>
      </c>
      <c r="E17" s="11">
        <f t="shared" si="2"/>
        <v>0</v>
      </c>
      <c r="F17" s="11">
        <f t="shared" si="2"/>
        <v>0</v>
      </c>
      <c r="G17" s="11">
        <f t="shared" si="2"/>
        <v>0</v>
      </c>
      <c r="H17" s="12">
        <f>IFERROR((D17+E17)/(B17-G17),0)</f>
        <v>0</v>
      </c>
      <c r="I17" s="12">
        <f>IFERROR(D17/(D17+E17),0)</f>
        <v>0</v>
      </c>
    </row>
    <row r="18" spans="1:9">
      <c r="A18" s="1"/>
      <c r="B18" s="1"/>
      <c r="C18" s="1"/>
      <c r="D18" s="1"/>
      <c r="E18" s="1"/>
      <c r="F18" s="1"/>
      <c r="G18" s="1"/>
      <c r="H18" s="1"/>
      <c r="I18" s="1"/>
    </row>
    <row r="19" spans="1:9">
      <c r="A19" s="1" t="s">
        <v>22</v>
      </c>
      <c r="B19" s="1"/>
      <c r="C19" s="1"/>
      <c r="D19" s="1"/>
      <c r="E19" s="1"/>
      <c r="F19" s="1"/>
      <c r="G19" s="1"/>
      <c r="H19" s="1"/>
      <c r="I19" s="1"/>
    </row>
    <row r="20" spans="1:9">
      <c r="A20" s="1" t="s">
        <v>23</v>
      </c>
      <c r="B20" s="1"/>
      <c r="C20" s="1"/>
      <c r="D20" s="1"/>
      <c r="E20" s="1"/>
      <c r="F20" s="1"/>
      <c r="G20" s="1"/>
      <c r="H20" s="1"/>
      <c r="I20" s="1"/>
    </row>
    <row r="21" spans="1:9">
      <c r="A21" s="1" t="s">
        <v>24</v>
      </c>
      <c r="B21" s="1"/>
      <c r="C21" s="1"/>
      <c r="D21" s="1"/>
      <c r="E21" s="1"/>
      <c r="F21" s="1"/>
      <c r="G21" s="1"/>
      <c r="H21" s="1"/>
      <c r="I21"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8"/>
  <sheetViews>
    <sheetView showGridLines="0" rightToLeft="1" zoomScale="85" workbookViewId="0">
      <pane xSplit="2" ySplit="5" topLeftCell="C6" activePane="bottomRight" state="frozen"/>
      <selection pane="topRight"/>
      <selection pane="bottomLeft"/>
      <selection pane="bottomRight" activeCell="I6" sqref="A6:I7"/>
    </sheetView>
  </sheetViews>
  <sheetFormatPr defaultRowHeight="14.25"/>
  <cols>
    <col min="1" max="1" width="14" customWidth="1"/>
    <col min="2" max="2" width="25" customWidth="1"/>
    <col min="3" max="3" width="40" customWidth="1"/>
    <col min="4" max="4" width="13" customWidth="1"/>
    <col min="5" max="5" width="48" customWidth="1"/>
    <col min="6" max="6" width="50" customWidth="1"/>
    <col min="7" max="8" width="72" customWidth="1"/>
    <col min="9" max="9" width="17" customWidth="1"/>
    <col min="10" max="10" width="45" customWidth="1"/>
    <col min="11" max="11" width="20" customWidth="1"/>
    <col min="12" max="13" width="18" customWidth="1"/>
    <col min="14" max="14" width="52" customWidth="1"/>
    <col min="15" max="15" width="66" customWidth="1"/>
    <col min="16" max="16" width="26" customWidth="1"/>
    <col min="17" max="17" width="23" customWidth="1"/>
    <col min="18" max="18" width="56" customWidth="1"/>
  </cols>
  <sheetData>
    <row r="1" spans="1:18">
      <c r="A1" s="1"/>
      <c r="B1" s="1"/>
      <c r="C1" s="1"/>
      <c r="D1" s="1"/>
      <c r="E1" s="1"/>
      <c r="F1" s="1"/>
      <c r="G1" s="1"/>
      <c r="H1" s="1"/>
      <c r="I1" s="1"/>
      <c r="J1" s="1"/>
      <c r="K1" s="1"/>
      <c r="L1" s="1"/>
      <c r="M1" s="1"/>
      <c r="N1" s="1"/>
      <c r="O1" s="1"/>
      <c r="P1" s="1"/>
      <c r="Q1" s="1"/>
      <c r="R1" s="1"/>
    </row>
    <row r="2" spans="1:18" ht="30" customHeight="1">
      <c r="A2" s="2" t="s">
        <v>25</v>
      </c>
      <c r="B2" s="1"/>
      <c r="C2" s="1"/>
      <c r="D2" s="1"/>
      <c r="E2" s="1"/>
      <c r="F2" s="1"/>
      <c r="G2" s="1"/>
      <c r="H2" s="1"/>
      <c r="I2" s="1"/>
      <c r="J2" s="1"/>
      <c r="K2" s="1"/>
      <c r="L2" s="1"/>
      <c r="M2" s="1"/>
      <c r="N2" s="1"/>
      <c r="O2" s="1"/>
      <c r="P2" s="1"/>
      <c r="Q2" s="1"/>
      <c r="R2" s="1"/>
    </row>
    <row r="3" spans="1:18">
      <c r="A3" s="3" t="s">
        <v>26</v>
      </c>
      <c r="B3" s="1"/>
      <c r="C3" s="1"/>
      <c r="D3" s="1"/>
      <c r="E3" s="1"/>
      <c r="F3" s="1"/>
      <c r="G3" s="1"/>
      <c r="H3" s="1"/>
      <c r="I3" s="1"/>
      <c r="J3" s="1"/>
      <c r="K3" s="1"/>
      <c r="L3" s="1"/>
      <c r="M3" s="1"/>
      <c r="N3" s="1"/>
      <c r="O3" s="1"/>
      <c r="P3" s="1"/>
      <c r="Q3" s="1"/>
      <c r="R3" s="1"/>
    </row>
    <row r="4" spans="1:18">
      <c r="A4" s="1"/>
      <c r="B4" s="1"/>
      <c r="C4" s="1"/>
      <c r="D4" s="1"/>
      <c r="E4" s="1"/>
      <c r="F4" s="1"/>
      <c r="G4" s="1"/>
      <c r="H4" s="1"/>
      <c r="I4" s="1"/>
      <c r="J4" s="1"/>
      <c r="K4" s="1"/>
      <c r="L4" s="1"/>
      <c r="M4" s="1"/>
      <c r="N4" s="1"/>
      <c r="O4" s="1"/>
      <c r="P4" s="1"/>
      <c r="Q4" s="1"/>
      <c r="R4" s="1"/>
    </row>
    <row r="5" spans="1:18" ht="36" customHeight="1">
      <c r="A5" s="5" t="s">
        <v>27</v>
      </c>
      <c r="B5" s="5" t="s">
        <v>28</v>
      </c>
      <c r="C5" s="5" t="s">
        <v>29</v>
      </c>
      <c r="D5" s="5" t="s">
        <v>30</v>
      </c>
      <c r="E5" s="5" t="s">
        <v>31</v>
      </c>
      <c r="F5" s="5" t="s">
        <v>32</v>
      </c>
      <c r="G5" s="5" t="s">
        <v>33</v>
      </c>
      <c r="H5" s="5" t="s">
        <v>34</v>
      </c>
      <c r="I5" s="5" t="s">
        <v>35</v>
      </c>
      <c r="J5" s="5" t="s">
        <v>36</v>
      </c>
      <c r="K5" s="5" t="s">
        <v>37</v>
      </c>
      <c r="L5" s="5" t="s">
        <v>38</v>
      </c>
      <c r="M5" s="5" t="s">
        <v>39</v>
      </c>
      <c r="N5" s="5" t="s">
        <v>40</v>
      </c>
      <c r="O5" s="5" t="s">
        <v>41</v>
      </c>
      <c r="P5" s="5" t="s">
        <v>42</v>
      </c>
      <c r="Q5" s="5" t="s">
        <v>43</v>
      </c>
      <c r="R5" s="5" t="s">
        <v>44</v>
      </c>
    </row>
    <row r="6" spans="1:18" ht="140.1" customHeight="1">
      <c r="A6" s="6" t="s">
        <v>45</v>
      </c>
      <c r="B6" s="6" t="s">
        <v>46</v>
      </c>
      <c r="C6" s="6" t="s">
        <v>47</v>
      </c>
      <c r="D6" s="6" t="s">
        <v>48</v>
      </c>
      <c r="E6" s="6" t="s">
        <v>49</v>
      </c>
      <c r="F6" s="6" t="s">
        <v>50</v>
      </c>
      <c r="G6" s="6" t="s">
        <v>51</v>
      </c>
      <c r="H6" s="6" t="s">
        <v>52</v>
      </c>
      <c r="I6" s="8" t="s">
        <v>4</v>
      </c>
      <c r="J6" s="8"/>
      <c r="K6" s="8"/>
      <c r="L6" s="9"/>
      <c r="M6" s="8"/>
      <c r="N6" s="6" t="s">
        <v>53</v>
      </c>
      <c r="O6" s="6" t="s">
        <v>54</v>
      </c>
      <c r="P6" s="6" t="s">
        <v>55</v>
      </c>
      <c r="Q6" s="6" t="s">
        <v>56</v>
      </c>
      <c r="R6" s="6" t="s">
        <v>57</v>
      </c>
    </row>
    <row r="7" spans="1:18" ht="140.1" customHeight="1">
      <c r="A7" s="7" t="s">
        <v>58</v>
      </c>
      <c r="B7" s="7" t="s">
        <v>46</v>
      </c>
      <c r="C7" s="7" t="s">
        <v>59</v>
      </c>
      <c r="D7" s="7" t="s">
        <v>48</v>
      </c>
      <c r="E7" s="7" t="s">
        <v>49</v>
      </c>
      <c r="F7" s="7" t="s">
        <v>60</v>
      </c>
      <c r="G7" s="7" t="s">
        <v>61</v>
      </c>
      <c r="H7" s="7" t="s">
        <v>62</v>
      </c>
      <c r="I7" s="8" t="s">
        <v>4</v>
      </c>
      <c r="J7" s="8"/>
      <c r="K7" s="8"/>
      <c r="L7" s="9"/>
      <c r="M7" s="8"/>
      <c r="N7" s="7" t="s">
        <v>53</v>
      </c>
      <c r="O7" s="7" t="s">
        <v>54</v>
      </c>
      <c r="P7" s="7" t="s">
        <v>63</v>
      </c>
      <c r="Q7" s="7" t="s">
        <v>56</v>
      </c>
      <c r="R7" s="7" t="s">
        <v>64</v>
      </c>
    </row>
    <row r="8" spans="1:18" ht="140.1" customHeight="1">
      <c r="A8" s="6" t="s">
        <v>65</v>
      </c>
      <c r="B8" s="6" t="s">
        <v>46</v>
      </c>
      <c r="C8" s="6" t="s">
        <v>66</v>
      </c>
      <c r="D8" s="6" t="s">
        <v>48</v>
      </c>
      <c r="E8" s="6" t="s">
        <v>49</v>
      </c>
      <c r="F8" s="6" t="s">
        <v>67</v>
      </c>
      <c r="G8" s="6" t="s">
        <v>61</v>
      </c>
      <c r="H8" s="6" t="s">
        <v>62</v>
      </c>
      <c r="I8" s="8" t="s">
        <v>4</v>
      </c>
      <c r="J8" s="8"/>
      <c r="K8" s="8"/>
      <c r="L8" s="9"/>
      <c r="M8" s="8"/>
      <c r="N8" s="6" t="s">
        <v>53</v>
      </c>
      <c r="O8" s="6" t="s">
        <v>54</v>
      </c>
      <c r="P8" s="6" t="s">
        <v>63</v>
      </c>
      <c r="Q8" s="6" t="s">
        <v>56</v>
      </c>
      <c r="R8" s="6" t="s">
        <v>64</v>
      </c>
    </row>
  </sheetData>
  <conditionalFormatting sqref="I6:I8">
    <cfRule type="cellIs" dxfId="19" priority="1" operator="equal">
      <formula>"فشلت"</formula>
    </cfRule>
    <cfRule type="cellIs" dxfId="18" priority="2" operator="equal">
      <formula>"محجوبة"</formula>
    </cfRule>
  </conditionalFormatting>
  <dataValidations count="1">
    <dataValidation type="list" sqref="I6:I8" xr:uid="{00000000-0002-0000-0100-000000000000}">
      <formula1>"لم تنفذ,نجحت,فشلت,محجوبة,غير منطبقة"</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68"/>
  <sheetViews>
    <sheetView showGridLines="0" rightToLeft="1" zoomScale="85" workbookViewId="0">
      <pane xSplit="2" ySplit="5" topLeftCell="C6" activePane="bottomRight" state="frozen"/>
      <selection pane="topRight"/>
      <selection pane="bottomLeft"/>
      <selection pane="bottomRight" activeCell="A6" sqref="A6:F6"/>
    </sheetView>
  </sheetViews>
  <sheetFormatPr defaultRowHeight="14.25"/>
  <cols>
    <col min="1" max="1" width="14" customWidth="1"/>
    <col min="2" max="2" width="25" customWidth="1"/>
    <col min="3" max="3" width="40" customWidth="1"/>
    <col min="4" max="4" width="13" customWidth="1"/>
    <col min="5" max="5" width="48" customWidth="1"/>
    <col min="6" max="6" width="50" customWidth="1"/>
    <col min="7" max="8" width="72" customWidth="1"/>
    <col min="9" max="9" width="17" customWidth="1"/>
    <col min="10" max="10" width="45" customWidth="1"/>
    <col min="11" max="11" width="20" customWidth="1"/>
    <col min="12" max="13" width="18" customWidth="1"/>
    <col min="14" max="14" width="52" customWidth="1"/>
    <col min="15" max="15" width="66" customWidth="1"/>
    <col min="16" max="16" width="26" customWidth="1"/>
    <col min="17" max="17" width="23" customWidth="1"/>
    <col min="18" max="18" width="56" customWidth="1"/>
  </cols>
  <sheetData>
    <row r="1" spans="1:18">
      <c r="A1" s="1"/>
      <c r="B1" s="1"/>
      <c r="C1" s="1"/>
      <c r="D1" s="1"/>
      <c r="E1" s="1"/>
      <c r="F1" s="1"/>
      <c r="G1" s="1"/>
      <c r="H1" s="1"/>
      <c r="I1" s="1"/>
      <c r="J1" s="1"/>
      <c r="K1" s="1"/>
      <c r="L1" s="1"/>
      <c r="M1" s="1"/>
      <c r="N1" s="1"/>
      <c r="O1" s="1"/>
      <c r="P1" s="1"/>
      <c r="Q1" s="1"/>
      <c r="R1" s="1"/>
    </row>
    <row r="2" spans="1:18" ht="30" customHeight="1">
      <c r="A2" s="2" t="s">
        <v>68</v>
      </c>
      <c r="B2" s="1"/>
      <c r="C2" s="1"/>
      <c r="D2" s="1"/>
      <c r="E2" s="1"/>
      <c r="F2" s="1"/>
      <c r="G2" s="1"/>
      <c r="H2" s="1"/>
      <c r="I2" s="1"/>
      <c r="J2" s="1"/>
      <c r="K2" s="1"/>
      <c r="L2" s="1"/>
      <c r="M2" s="1"/>
      <c r="N2" s="1"/>
      <c r="O2" s="1"/>
      <c r="P2" s="1"/>
      <c r="Q2" s="1"/>
      <c r="R2" s="1"/>
    </row>
    <row r="3" spans="1:18">
      <c r="A3" s="3" t="s">
        <v>26</v>
      </c>
      <c r="B3" s="1"/>
      <c r="C3" s="1"/>
      <c r="D3" s="1"/>
      <c r="E3" s="1"/>
      <c r="F3" s="1"/>
      <c r="G3" s="1"/>
      <c r="H3" s="1"/>
      <c r="I3" s="1"/>
      <c r="J3" s="1"/>
      <c r="K3" s="1"/>
      <c r="L3" s="1"/>
      <c r="M3" s="1"/>
      <c r="N3" s="1"/>
      <c r="O3" s="1"/>
      <c r="P3" s="1"/>
      <c r="Q3" s="1"/>
      <c r="R3" s="1"/>
    </row>
    <row r="4" spans="1:18">
      <c r="A4" s="1"/>
      <c r="B4" s="1"/>
      <c r="C4" s="1"/>
      <c r="D4" s="1"/>
      <c r="E4" s="1"/>
      <c r="F4" s="1"/>
      <c r="G4" s="1"/>
      <c r="H4" s="1"/>
      <c r="I4" s="1"/>
      <c r="J4" s="1"/>
      <c r="K4" s="1"/>
      <c r="L4" s="1"/>
      <c r="M4" s="1"/>
      <c r="N4" s="1"/>
      <c r="O4" s="1"/>
      <c r="P4" s="1"/>
      <c r="Q4" s="1"/>
      <c r="R4" s="1"/>
    </row>
    <row r="5" spans="1:18" ht="36" customHeight="1">
      <c r="A5" s="5" t="s">
        <v>27</v>
      </c>
      <c r="B5" s="5" t="s">
        <v>28</v>
      </c>
      <c r="C5" s="5" t="s">
        <v>29</v>
      </c>
      <c r="D5" s="5" t="s">
        <v>30</v>
      </c>
      <c r="E5" s="5" t="s">
        <v>31</v>
      </c>
      <c r="F5" s="5" t="s">
        <v>32</v>
      </c>
      <c r="G5" s="5" t="s">
        <v>33</v>
      </c>
      <c r="H5" s="5" t="s">
        <v>34</v>
      </c>
      <c r="I5" s="5" t="s">
        <v>35</v>
      </c>
      <c r="J5" s="5" t="s">
        <v>36</v>
      </c>
      <c r="K5" s="5" t="s">
        <v>37</v>
      </c>
      <c r="L5" s="5" t="s">
        <v>38</v>
      </c>
      <c r="M5" s="5" t="s">
        <v>39</v>
      </c>
      <c r="N5" s="5" t="s">
        <v>40</v>
      </c>
      <c r="O5" s="5" t="s">
        <v>41</v>
      </c>
      <c r="P5" s="5" t="s">
        <v>42</v>
      </c>
      <c r="Q5" s="5" t="s">
        <v>43</v>
      </c>
      <c r="R5" s="5" t="s">
        <v>44</v>
      </c>
    </row>
    <row r="6" spans="1:18" ht="140.1" customHeight="1">
      <c r="A6" s="6" t="s">
        <v>69</v>
      </c>
      <c r="B6" s="6" t="s">
        <v>70</v>
      </c>
      <c r="C6" s="6" t="s">
        <v>71</v>
      </c>
      <c r="D6" s="6" t="s">
        <v>48</v>
      </c>
      <c r="E6" s="6" t="s">
        <v>49</v>
      </c>
      <c r="F6" s="6" t="s">
        <v>72</v>
      </c>
      <c r="G6" s="6" t="s">
        <v>73</v>
      </c>
      <c r="H6" s="6" t="s">
        <v>74</v>
      </c>
      <c r="I6" s="8" t="s">
        <v>4</v>
      </c>
      <c r="J6" s="8"/>
      <c r="K6" s="8"/>
      <c r="L6" s="9"/>
      <c r="M6" s="8"/>
      <c r="N6" s="6" t="s">
        <v>53</v>
      </c>
      <c r="O6" s="6" t="s">
        <v>75</v>
      </c>
      <c r="P6" s="6" t="s">
        <v>55</v>
      </c>
      <c r="Q6" s="6" t="s">
        <v>56</v>
      </c>
      <c r="R6" s="6" t="s">
        <v>76</v>
      </c>
    </row>
    <row r="7" spans="1:18" ht="140.1" customHeight="1">
      <c r="A7" s="7" t="s">
        <v>77</v>
      </c>
      <c r="B7" s="7" t="s">
        <v>70</v>
      </c>
      <c r="C7" s="7" t="s">
        <v>78</v>
      </c>
      <c r="D7" s="7" t="s">
        <v>48</v>
      </c>
      <c r="E7" s="7" t="s">
        <v>49</v>
      </c>
      <c r="F7" s="7" t="s">
        <v>79</v>
      </c>
      <c r="G7" s="7" t="s">
        <v>80</v>
      </c>
      <c r="H7" s="7" t="s">
        <v>81</v>
      </c>
      <c r="I7" s="8" t="s">
        <v>4</v>
      </c>
      <c r="J7" s="8"/>
      <c r="K7" s="8"/>
      <c r="L7" s="9"/>
      <c r="M7" s="8"/>
      <c r="N7" s="7" t="s">
        <v>53</v>
      </c>
      <c r="O7" s="7" t="s">
        <v>75</v>
      </c>
      <c r="P7" s="7" t="s">
        <v>55</v>
      </c>
      <c r="Q7" s="7" t="s">
        <v>56</v>
      </c>
      <c r="R7" s="7" t="s">
        <v>76</v>
      </c>
    </row>
    <row r="8" spans="1:18" ht="140.1" customHeight="1">
      <c r="A8" s="6" t="s">
        <v>82</v>
      </c>
      <c r="B8" s="6" t="s">
        <v>70</v>
      </c>
      <c r="C8" s="6" t="s">
        <v>83</v>
      </c>
      <c r="D8" s="6" t="s">
        <v>84</v>
      </c>
      <c r="E8" s="6" t="s">
        <v>49</v>
      </c>
      <c r="F8" s="6" t="s">
        <v>85</v>
      </c>
      <c r="G8" s="6" t="s">
        <v>86</v>
      </c>
      <c r="H8" s="6" t="s">
        <v>87</v>
      </c>
      <c r="I8" s="8" t="s">
        <v>4</v>
      </c>
      <c r="J8" s="8"/>
      <c r="K8" s="8"/>
      <c r="L8" s="9"/>
      <c r="M8" s="8"/>
      <c r="N8" s="6" t="s">
        <v>53</v>
      </c>
      <c r="O8" s="6" t="s">
        <v>75</v>
      </c>
      <c r="P8" s="6" t="s">
        <v>55</v>
      </c>
      <c r="Q8" s="6" t="s">
        <v>56</v>
      </c>
      <c r="R8" s="6" t="s">
        <v>76</v>
      </c>
    </row>
    <row r="9" spans="1:18" ht="140.1" customHeight="1">
      <c r="A9" s="7" t="s">
        <v>88</v>
      </c>
      <c r="B9" s="7" t="s">
        <v>70</v>
      </c>
      <c r="C9" s="7" t="s">
        <v>89</v>
      </c>
      <c r="D9" s="7" t="s">
        <v>48</v>
      </c>
      <c r="E9" s="7" t="s">
        <v>49</v>
      </c>
      <c r="F9" s="7" t="s">
        <v>90</v>
      </c>
      <c r="G9" s="7" t="s">
        <v>91</v>
      </c>
      <c r="H9" s="7" t="s">
        <v>92</v>
      </c>
      <c r="I9" s="8" t="s">
        <v>4</v>
      </c>
      <c r="J9" s="8"/>
      <c r="K9" s="8"/>
      <c r="L9" s="9"/>
      <c r="M9" s="8"/>
      <c r="N9" s="7" t="s">
        <v>53</v>
      </c>
      <c r="O9" s="7" t="s">
        <v>75</v>
      </c>
      <c r="P9" s="7" t="s">
        <v>55</v>
      </c>
      <c r="Q9" s="7" t="s">
        <v>56</v>
      </c>
      <c r="R9" s="7" t="s">
        <v>76</v>
      </c>
    </row>
    <row r="10" spans="1:18" ht="140.1" customHeight="1">
      <c r="A10" s="6" t="s">
        <v>93</v>
      </c>
      <c r="B10" s="6" t="s">
        <v>70</v>
      </c>
      <c r="C10" s="6" t="s">
        <v>94</v>
      </c>
      <c r="D10" s="6" t="s">
        <v>84</v>
      </c>
      <c r="E10" s="6" t="s">
        <v>49</v>
      </c>
      <c r="F10" s="6" t="s">
        <v>95</v>
      </c>
      <c r="G10" s="6" t="s">
        <v>96</v>
      </c>
      <c r="H10" s="6" t="s">
        <v>97</v>
      </c>
      <c r="I10" s="8" t="s">
        <v>4</v>
      </c>
      <c r="J10" s="8"/>
      <c r="K10" s="8"/>
      <c r="L10" s="9"/>
      <c r="M10" s="8"/>
      <c r="N10" s="6" t="s">
        <v>53</v>
      </c>
      <c r="O10" s="6" t="s">
        <v>75</v>
      </c>
      <c r="P10" s="6" t="s">
        <v>55</v>
      </c>
      <c r="Q10" s="6" t="s">
        <v>56</v>
      </c>
      <c r="R10" s="6" t="s">
        <v>76</v>
      </c>
    </row>
    <row r="11" spans="1:18" ht="140.1" customHeight="1">
      <c r="A11" s="7" t="s">
        <v>98</v>
      </c>
      <c r="B11" s="7" t="s">
        <v>70</v>
      </c>
      <c r="C11" s="7" t="s">
        <v>99</v>
      </c>
      <c r="D11" s="7" t="s">
        <v>48</v>
      </c>
      <c r="E11" s="7" t="s">
        <v>49</v>
      </c>
      <c r="F11" s="7" t="s">
        <v>100</v>
      </c>
      <c r="G11" s="7" t="s">
        <v>101</v>
      </c>
      <c r="H11" s="7" t="s">
        <v>102</v>
      </c>
      <c r="I11" s="8" t="s">
        <v>4</v>
      </c>
      <c r="J11" s="8"/>
      <c r="K11" s="8"/>
      <c r="L11" s="9"/>
      <c r="M11" s="8"/>
      <c r="N11" s="7" t="s">
        <v>53</v>
      </c>
      <c r="O11" s="7" t="s">
        <v>75</v>
      </c>
      <c r="P11" s="7" t="s">
        <v>63</v>
      </c>
      <c r="Q11" s="7" t="s">
        <v>56</v>
      </c>
      <c r="R11" s="7" t="s">
        <v>76</v>
      </c>
    </row>
    <row r="12" spans="1:18" ht="140.1" customHeight="1">
      <c r="A12" s="6" t="s">
        <v>103</v>
      </c>
      <c r="B12" s="6" t="s">
        <v>104</v>
      </c>
      <c r="C12" s="6" t="s">
        <v>71</v>
      </c>
      <c r="D12" s="6" t="s">
        <v>48</v>
      </c>
      <c r="E12" s="6" t="s">
        <v>49</v>
      </c>
      <c r="F12" s="6" t="s">
        <v>105</v>
      </c>
      <c r="G12" s="6" t="s">
        <v>106</v>
      </c>
      <c r="H12" s="6" t="s">
        <v>74</v>
      </c>
      <c r="I12" s="8" t="s">
        <v>4</v>
      </c>
      <c r="J12" s="8"/>
      <c r="K12" s="8"/>
      <c r="L12" s="9"/>
      <c r="M12" s="8"/>
      <c r="N12" s="6" t="s">
        <v>53</v>
      </c>
      <c r="O12" s="6" t="s">
        <v>107</v>
      </c>
      <c r="P12" s="6" t="s">
        <v>55</v>
      </c>
      <c r="Q12" s="6" t="s">
        <v>56</v>
      </c>
      <c r="R12" s="6" t="s">
        <v>76</v>
      </c>
    </row>
    <row r="13" spans="1:18" ht="140.1" customHeight="1">
      <c r="A13" s="7" t="s">
        <v>108</v>
      </c>
      <c r="B13" s="7" t="s">
        <v>104</v>
      </c>
      <c r="C13" s="7" t="s">
        <v>78</v>
      </c>
      <c r="D13" s="7" t="s">
        <v>48</v>
      </c>
      <c r="E13" s="7" t="s">
        <v>49</v>
      </c>
      <c r="F13" s="7" t="s">
        <v>109</v>
      </c>
      <c r="G13" s="7" t="s">
        <v>110</v>
      </c>
      <c r="H13" s="7" t="s">
        <v>81</v>
      </c>
      <c r="I13" s="8" t="s">
        <v>4</v>
      </c>
      <c r="J13" s="8"/>
      <c r="K13" s="8"/>
      <c r="L13" s="9"/>
      <c r="M13" s="8"/>
      <c r="N13" s="7" t="s">
        <v>53</v>
      </c>
      <c r="O13" s="7" t="s">
        <v>107</v>
      </c>
      <c r="P13" s="7" t="s">
        <v>55</v>
      </c>
      <c r="Q13" s="7" t="s">
        <v>56</v>
      </c>
      <c r="R13" s="7" t="s">
        <v>76</v>
      </c>
    </row>
    <row r="14" spans="1:18" ht="140.1" customHeight="1">
      <c r="A14" s="6" t="s">
        <v>111</v>
      </c>
      <c r="B14" s="6" t="s">
        <v>104</v>
      </c>
      <c r="C14" s="6" t="s">
        <v>83</v>
      </c>
      <c r="D14" s="6" t="s">
        <v>84</v>
      </c>
      <c r="E14" s="6" t="s">
        <v>49</v>
      </c>
      <c r="F14" s="6" t="s">
        <v>112</v>
      </c>
      <c r="G14" s="6" t="s">
        <v>113</v>
      </c>
      <c r="H14" s="6" t="s">
        <v>87</v>
      </c>
      <c r="I14" s="8" t="s">
        <v>4</v>
      </c>
      <c r="J14" s="8"/>
      <c r="K14" s="8"/>
      <c r="L14" s="9"/>
      <c r="M14" s="8"/>
      <c r="N14" s="6" t="s">
        <v>53</v>
      </c>
      <c r="O14" s="6" t="s">
        <v>107</v>
      </c>
      <c r="P14" s="6" t="s">
        <v>55</v>
      </c>
      <c r="Q14" s="6" t="s">
        <v>56</v>
      </c>
      <c r="R14" s="6" t="s">
        <v>76</v>
      </c>
    </row>
    <row r="15" spans="1:18" ht="140.1" customHeight="1">
      <c r="A15" s="7" t="s">
        <v>114</v>
      </c>
      <c r="B15" s="7" t="s">
        <v>104</v>
      </c>
      <c r="C15" s="7" t="s">
        <v>89</v>
      </c>
      <c r="D15" s="7" t="s">
        <v>48</v>
      </c>
      <c r="E15" s="7" t="s">
        <v>49</v>
      </c>
      <c r="F15" s="7" t="s">
        <v>115</v>
      </c>
      <c r="G15" s="7" t="s">
        <v>116</v>
      </c>
      <c r="H15" s="7" t="s">
        <v>92</v>
      </c>
      <c r="I15" s="8" t="s">
        <v>4</v>
      </c>
      <c r="J15" s="8"/>
      <c r="K15" s="8"/>
      <c r="L15" s="9"/>
      <c r="M15" s="8"/>
      <c r="N15" s="7" t="s">
        <v>53</v>
      </c>
      <c r="O15" s="7" t="s">
        <v>107</v>
      </c>
      <c r="P15" s="7" t="s">
        <v>55</v>
      </c>
      <c r="Q15" s="7" t="s">
        <v>56</v>
      </c>
      <c r="R15" s="7" t="s">
        <v>76</v>
      </c>
    </row>
    <row r="16" spans="1:18" ht="140.1" customHeight="1">
      <c r="A16" s="6" t="s">
        <v>117</v>
      </c>
      <c r="B16" s="6" t="s">
        <v>104</v>
      </c>
      <c r="C16" s="6" t="s">
        <v>94</v>
      </c>
      <c r="D16" s="6" t="s">
        <v>84</v>
      </c>
      <c r="E16" s="6" t="s">
        <v>49</v>
      </c>
      <c r="F16" s="6" t="s">
        <v>118</v>
      </c>
      <c r="G16" s="6" t="s">
        <v>119</v>
      </c>
      <c r="H16" s="6" t="s">
        <v>97</v>
      </c>
      <c r="I16" s="8" t="s">
        <v>4</v>
      </c>
      <c r="J16" s="8"/>
      <c r="K16" s="8"/>
      <c r="L16" s="9"/>
      <c r="M16" s="8"/>
      <c r="N16" s="6" t="s">
        <v>53</v>
      </c>
      <c r="O16" s="6" t="s">
        <v>107</v>
      </c>
      <c r="P16" s="6" t="s">
        <v>55</v>
      </c>
      <c r="Q16" s="6" t="s">
        <v>56</v>
      </c>
      <c r="R16" s="6" t="s">
        <v>76</v>
      </c>
    </row>
    <row r="17" spans="1:18" ht="140.1" customHeight="1">
      <c r="A17" s="7" t="s">
        <v>120</v>
      </c>
      <c r="B17" s="7" t="s">
        <v>104</v>
      </c>
      <c r="C17" s="7" t="s">
        <v>99</v>
      </c>
      <c r="D17" s="7" t="s">
        <v>48</v>
      </c>
      <c r="E17" s="7" t="s">
        <v>49</v>
      </c>
      <c r="F17" s="7" t="s">
        <v>100</v>
      </c>
      <c r="G17" s="7" t="s">
        <v>121</v>
      </c>
      <c r="H17" s="7" t="s">
        <v>102</v>
      </c>
      <c r="I17" s="8" t="s">
        <v>4</v>
      </c>
      <c r="J17" s="8"/>
      <c r="K17" s="8"/>
      <c r="L17" s="9"/>
      <c r="M17" s="8"/>
      <c r="N17" s="7" t="s">
        <v>53</v>
      </c>
      <c r="O17" s="7" t="s">
        <v>107</v>
      </c>
      <c r="P17" s="7" t="s">
        <v>63</v>
      </c>
      <c r="Q17" s="7" t="s">
        <v>56</v>
      </c>
      <c r="R17" s="7" t="s">
        <v>76</v>
      </c>
    </row>
    <row r="18" spans="1:18" ht="140.1" customHeight="1">
      <c r="A18" s="6" t="s">
        <v>122</v>
      </c>
      <c r="B18" s="6" t="s">
        <v>123</v>
      </c>
      <c r="C18" s="6" t="s">
        <v>71</v>
      </c>
      <c r="D18" s="6" t="s">
        <v>48</v>
      </c>
      <c r="E18" s="6" t="s">
        <v>49</v>
      </c>
      <c r="F18" s="6" t="s">
        <v>105</v>
      </c>
      <c r="G18" s="6" t="s">
        <v>124</v>
      </c>
      <c r="H18" s="6" t="s">
        <v>74</v>
      </c>
      <c r="I18" s="8" t="s">
        <v>4</v>
      </c>
      <c r="J18" s="8"/>
      <c r="K18" s="8"/>
      <c r="L18" s="9"/>
      <c r="M18" s="8"/>
      <c r="N18" s="6" t="s">
        <v>53</v>
      </c>
      <c r="O18" s="6" t="s">
        <v>125</v>
      </c>
      <c r="P18" s="6" t="s">
        <v>55</v>
      </c>
      <c r="Q18" s="6" t="s">
        <v>56</v>
      </c>
      <c r="R18" s="6" t="s">
        <v>76</v>
      </c>
    </row>
    <row r="19" spans="1:18" ht="140.1" customHeight="1">
      <c r="A19" s="7" t="s">
        <v>126</v>
      </c>
      <c r="B19" s="7" t="s">
        <v>123</v>
      </c>
      <c r="C19" s="7" t="s">
        <v>78</v>
      </c>
      <c r="D19" s="7" t="s">
        <v>48</v>
      </c>
      <c r="E19" s="7" t="s">
        <v>49</v>
      </c>
      <c r="F19" s="7" t="s">
        <v>109</v>
      </c>
      <c r="G19" s="7" t="s">
        <v>127</v>
      </c>
      <c r="H19" s="7" t="s">
        <v>81</v>
      </c>
      <c r="I19" s="8" t="s">
        <v>4</v>
      </c>
      <c r="J19" s="8"/>
      <c r="K19" s="8"/>
      <c r="L19" s="9"/>
      <c r="M19" s="8"/>
      <c r="N19" s="7" t="s">
        <v>53</v>
      </c>
      <c r="O19" s="7" t="s">
        <v>125</v>
      </c>
      <c r="P19" s="7" t="s">
        <v>55</v>
      </c>
      <c r="Q19" s="7" t="s">
        <v>56</v>
      </c>
      <c r="R19" s="7" t="s">
        <v>76</v>
      </c>
    </row>
    <row r="20" spans="1:18" ht="140.1" customHeight="1">
      <c r="A20" s="6" t="s">
        <v>128</v>
      </c>
      <c r="B20" s="6" t="s">
        <v>123</v>
      </c>
      <c r="C20" s="6" t="s">
        <v>83</v>
      </c>
      <c r="D20" s="6" t="s">
        <v>84</v>
      </c>
      <c r="E20" s="6" t="s">
        <v>49</v>
      </c>
      <c r="F20" s="6" t="s">
        <v>112</v>
      </c>
      <c r="G20" s="6" t="s">
        <v>129</v>
      </c>
      <c r="H20" s="6" t="s">
        <v>87</v>
      </c>
      <c r="I20" s="8" t="s">
        <v>4</v>
      </c>
      <c r="J20" s="8"/>
      <c r="K20" s="8"/>
      <c r="L20" s="9"/>
      <c r="M20" s="8"/>
      <c r="N20" s="6" t="s">
        <v>53</v>
      </c>
      <c r="O20" s="6" t="s">
        <v>125</v>
      </c>
      <c r="P20" s="6" t="s">
        <v>55</v>
      </c>
      <c r="Q20" s="6" t="s">
        <v>56</v>
      </c>
      <c r="R20" s="6" t="s">
        <v>76</v>
      </c>
    </row>
    <row r="21" spans="1:18" ht="140.1" customHeight="1">
      <c r="A21" s="7" t="s">
        <v>130</v>
      </c>
      <c r="B21" s="7" t="s">
        <v>123</v>
      </c>
      <c r="C21" s="7" t="s">
        <v>89</v>
      </c>
      <c r="D21" s="7" t="s">
        <v>48</v>
      </c>
      <c r="E21" s="7" t="s">
        <v>49</v>
      </c>
      <c r="F21" s="7" t="s">
        <v>115</v>
      </c>
      <c r="G21" s="7" t="s">
        <v>131</v>
      </c>
      <c r="H21" s="7" t="s">
        <v>92</v>
      </c>
      <c r="I21" s="8" t="s">
        <v>4</v>
      </c>
      <c r="J21" s="8"/>
      <c r="K21" s="8"/>
      <c r="L21" s="9"/>
      <c r="M21" s="8"/>
      <c r="N21" s="7" t="s">
        <v>53</v>
      </c>
      <c r="O21" s="7" t="s">
        <v>125</v>
      </c>
      <c r="P21" s="7" t="s">
        <v>55</v>
      </c>
      <c r="Q21" s="7" t="s">
        <v>56</v>
      </c>
      <c r="R21" s="7" t="s">
        <v>76</v>
      </c>
    </row>
    <row r="22" spans="1:18" ht="140.1" customHeight="1">
      <c r="A22" s="6" t="s">
        <v>132</v>
      </c>
      <c r="B22" s="6" t="s">
        <v>123</v>
      </c>
      <c r="C22" s="6" t="s">
        <v>94</v>
      </c>
      <c r="D22" s="6" t="s">
        <v>84</v>
      </c>
      <c r="E22" s="6" t="s">
        <v>49</v>
      </c>
      <c r="F22" s="6" t="s">
        <v>118</v>
      </c>
      <c r="G22" s="6" t="s">
        <v>133</v>
      </c>
      <c r="H22" s="6" t="s">
        <v>97</v>
      </c>
      <c r="I22" s="8" t="s">
        <v>4</v>
      </c>
      <c r="J22" s="8"/>
      <c r="K22" s="8"/>
      <c r="L22" s="9"/>
      <c r="M22" s="8"/>
      <c r="N22" s="6" t="s">
        <v>53</v>
      </c>
      <c r="O22" s="6" t="s">
        <v>125</v>
      </c>
      <c r="P22" s="6" t="s">
        <v>55</v>
      </c>
      <c r="Q22" s="6" t="s">
        <v>56</v>
      </c>
      <c r="R22" s="6" t="s">
        <v>76</v>
      </c>
    </row>
    <row r="23" spans="1:18" ht="140.1" customHeight="1">
      <c r="A23" s="7" t="s">
        <v>134</v>
      </c>
      <c r="B23" s="7" t="s">
        <v>123</v>
      </c>
      <c r="C23" s="7" t="s">
        <v>99</v>
      </c>
      <c r="D23" s="7" t="s">
        <v>48</v>
      </c>
      <c r="E23" s="7" t="s">
        <v>49</v>
      </c>
      <c r="F23" s="7" t="s">
        <v>100</v>
      </c>
      <c r="G23" s="7" t="s">
        <v>135</v>
      </c>
      <c r="H23" s="7" t="s">
        <v>102</v>
      </c>
      <c r="I23" s="8" t="s">
        <v>4</v>
      </c>
      <c r="J23" s="8"/>
      <c r="K23" s="8"/>
      <c r="L23" s="9"/>
      <c r="M23" s="8"/>
      <c r="N23" s="7" t="s">
        <v>53</v>
      </c>
      <c r="O23" s="7" t="s">
        <v>125</v>
      </c>
      <c r="P23" s="7" t="s">
        <v>63</v>
      </c>
      <c r="Q23" s="7" t="s">
        <v>56</v>
      </c>
      <c r="R23" s="7" t="s">
        <v>76</v>
      </c>
    </row>
    <row r="24" spans="1:18" ht="140.1" customHeight="1">
      <c r="A24" s="6" t="s">
        <v>136</v>
      </c>
      <c r="B24" s="6" t="s">
        <v>137</v>
      </c>
      <c r="C24" s="6" t="s">
        <v>71</v>
      </c>
      <c r="D24" s="6" t="s">
        <v>48</v>
      </c>
      <c r="E24" s="6" t="s">
        <v>49</v>
      </c>
      <c r="F24" s="6" t="s">
        <v>138</v>
      </c>
      <c r="G24" s="6" t="s">
        <v>139</v>
      </c>
      <c r="H24" s="6" t="s">
        <v>74</v>
      </c>
      <c r="I24" s="8" t="s">
        <v>4</v>
      </c>
      <c r="J24" s="8"/>
      <c r="K24" s="8"/>
      <c r="L24" s="9"/>
      <c r="M24" s="8"/>
      <c r="N24" s="6" t="s">
        <v>53</v>
      </c>
      <c r="O24" s="6" t="s">
        <v>140</v>
      </c>
      <c r="P24" s="6" t="s">
        <v>55</v>
      </c>
      <c r="Q24" s="6" t="s">
        <v>56</v>
      </c>
      <c r="R24" s="6" t="s">
        <v>76</v>
      </c>
    </row>
    <row r="25" spans="1:18" ht="140.1" customHeight="1">
      <c r="A25" s="7" t="s">
        <v>141</v>
      </c>
      <c r="B25" s="7" t="s">
        <v>137</v>
      </c>
      <c r="C25" s="7" t="s">
        <v>78</v>
      </c>
      <c r="D25" s="7" t="s">
        <v>48</v>
      </c>
      <c r="E25" s="7" t="s">
        <v>49</v>
      </c>
      <c r="F25" s="7" t="s">
        <v>142</v>
      </c>
      <c r="G25" s="7" t="s">
        <v>143</v>
      </c>
      <c r="H25" s="7" t="s">
        <v>81</v>
      </c>
      <c r="I25" s="8" t="s">
        <v>4</v>
      </c>
      <c r="J25" s="8"/>
      <c r="K25" s="8"/>
      <c r="L25" s="9"/>
      <c r="M25" s="8"/>
      <c r="N25" s="7" t="s">
        <v>53</v>
      </c>
      <c r="O25" s="7" t="s">
        <v>140</v>
      </c>
      <c r="P25" s="7" t="s">
        <v>55</v>
      </c>
      <c r="Q25" s="7" t="s">
        <v>56</v>
      </c>
      <c r="R25" s="7" t="s">
        <v>76</v>
      </c>
    </row>
    <row r="26" spans="1:18" ht="140.1" customHeight="1">
      <c r="A26" s="6" t="s">
        <v>144</v>
      </c>
      <c r="B26" s="6" t="s">
        <v>137</v>
      </c>
      <c r="C26" s="6" t="s">
        <v>83</v>
      </c>
      <c r="D26" s="6" t="s">
        <v>84</v>
      </c>
      <c r="E26" s="6" t="s">
        <v>49</v>
      </c>
      <c r="F26" s="6" t="s">
        <v>145</v>
      </c>
      <c r="G26" s="6" t="s">
        <v>146</v>
      </c>
      <c r="H26" s="6" t="s">
        <v>87</v>
      </c>
      <c r="I26" s="8" t="s">
        <v>4</v>
      </c>
      <c r="J26" s="8"/>
      <c r="K26" s="8"/>
      <c r="L26" s="9"/>
      <c r="M26" s="8"/>
      <c r="N26" s="6" t="s">
        <v>53</v>
      </c>
      <c r="O26" s="6" t="s">
        <v>140</v>
      </c>
      <c r="P26" s="6" t="s">
        <v>55</v>
      </c>
      <c r="Q26" s="6" t="s">
        <v>56</v>
      </c>
      <c r="R26" s="6" t="s">
        <v>76</v>
      </c>
    </row>
    <row r="27" spans="1:18" ht="140.1" customHeight="1">
      <c r="A27" s="7" t="s">
        <v>147</v>
      </c>
      <c r="B27" s="7" t="s">
        <v>137</v>
      </c>
      <c r="C27" s="7" t="s">
        <v>89</v>
      </c>
      <c r="D27" s="7" t="s">
        <v>48</v>
      </c>
      <c r="E27" s="7" t="s">
        <v>49</v>
      </c>
      <c r="F27" s="7" t="s">
        <v>148</v>
      </c>
      <c r="G27" s="7" t="s">
        <v>149</v>
      </c>
      <c r="H27" s="7" t="s">
        <v>92</v>
      </c>
      <c r="I27" s="8" t="s">
        <v>4</v>
      </c>
      <c r="J27" s="8"/>
      <c r="K27" s="8"/>
      <c r="L27" s="9"/>
      <c r="M27" s="8"/>
      <c r="N27" s="7" t="s">
        <v>53</v>
      </c>
      <c r="O27" s="7" t="s">
        <v>140</v>
      </c>
      <c r="P27" s="7" t="s">
        <v>55</v>
      </c>
      <c r="Q27" s="7" t="s">
        <v>56</v>
      </c>
      <c r="R27" s="7" t="s">
        <v>76</v>
      </c>
    </row>
    <row r="28" spans="1:18" ht="140.1" customHeight="1">
      <c r="A28" s="6" t="s">
        <v>150</v>
      </c>
      <c r="B28" s="6" t="s">
        <v>137</v>
      </c>
      <c r="C28" s="6" t="s">
        <v>94</v>
      </c>
      <c r="D28" s="6" t="s">
        <v>84</v>
      </c>
      <c r="E28" s="6" t="s">
        <v>49</v>
      </c>
      <c r="F28" s="6" t="s">
        <v>151</v>
      </c>
      <c r="G28" s="6" t="s">
        <v>152</v>
      </c>
      <c r="H28" s="6" t="s">
        <v>97</v>
      </c>
      <c r="I28" s="8" t="s">
        <v>4</v>
      </c>
      <c r="J28" s="8"/>
      <c r="K28" s="8"/>
      <c r="L28" s="9"/>
      <c r="M28" s="8"/>
      <c r="N28" s="6" t="s">
        <v>53</v>
      </c>
      <c r="O28" s="6" t="s">
        <v>140</v>
      </c>
      <c r="P28" s="6" t="s">
        <v>55</v>
      </c>
      <c r="Q28" s="6" t="s">
        <v>56</v>
      </c>
      <c r="R28" s="6" t="s">
        <v>76</v>
      </c>
    </row>
    <row r="29" spans="1:18" ht="140.1" customHeight="1">
      <c r="A29" s="7" t="s">
        <v>153</v>
      </c>
      <c r="B29" s="7" t="s">
        <v>137</v>
      </c>
      <c r="C29" s="7" t="s">
        <v>99</v>
      </c>
      <c r="D29" s="7" t="s">
        <v>48</v>
      </c>
      <c r="E29" s="7" t="s">
        <v>49</v>
      </c>
      <c r="F29" s="7" t="s">
        <v>100</v>
      </c>
      <c r="G29" s="7" t="s">
        <v>154</v>
      </c>
      <c r="H29" s="7" t="s">
        <v>102</v>
      </c>
      <c r="I29" s="8" t="s">
        <v>4</v>
      </c>
      <c r="J29" s="8"/>
      <c r="K29" s="8"/>
      <c r="L29" s="9"/>
      <c r="M29" s="8"/>
      <c r="N29" s="7" t="s">
        <v>53</v>
      </c>
      <c r="O29" s="7" t="s">
        <v>140</v>
      </c>
      <c r="P29" s="7" t="s">
        <v>63</v>
      </c>
      <c r="Q29" s="7" t="s">
        <v>56</v>
      </c>
      <c r="R29" s="7" t="s">
        <v>76</v>
      </c>
    </row>
    <row r="30" spans="1:18" ht="140.1" customHeight="1">
      <c r="A30" s="6" t="s">
        <v>155</v>
      </c>
      <c r="B30" s="6" t="s">
        <v>156</v>
      </c>
      <c r="C30" s="6" t="s">
        <v>71</v>
      </c>
      <c r="D30" s="6" t="s">
        <v>48</v>
      </c>
      <c r="E30" s="6" t="s">
        <v>49</v>
      </c>
      <c r="F30" s="6" t="s">
        <v>157</v>
      </c>
      <c r="G30" s="6" t="s">
        <v>158</v>
      </c>
      <c r="H30" s="6" t="s">
        <v>74</v>
      </c>
      <c r="I30" s="8" t="s">
        <v>4</v>
      </c>
      <c r="J30" s="8"/>
      <c r="K30" s="8"/>
      <c r="L30" s="9"/>
      <c r="M30" s="8"/>
      <c r="N30" s="6" t="s">
        <v>53</v>
      </c>
      <c r="O30" s="6" t="s">
        <v>159</v>
      </c>
      <c r="P30" s="6" t="s">
        <v>55</v>
      </c>
      <c r="Q30" s="6" t="s">
        <v>56</v>
      </c>
      <c r="R30" s="6" t="s">
        <v>76</v>
      </c>
    </row>
    <row r="31" spans="1:18" ht="140.1" customHeight="1">
      <c r="A31" s="7" t="s">
        <v>160</v>
      </c>
      <c r="B31" s="7" t="s">
        <v>156</v>
      </c>
      <c r="C31" s="7" t="s">
        <v>78</v>
      </c>
      <c r="D31" s="7" t="s">
        <v>48</v>
      </c>
      <c r="E31" s="7" t="s">
        <v>49</v>
      </c>
      <c r="F31" s="7" t="s">
        <v>161</v>
      </c>
      <c r="G31" s="7" t="s">
        <v>162</v>
      </c>
      <c r="H31" s="7" t="s">
        <v>81</v>
      </c>
      <c r="I31" s="8" t="s">
        <v>4</v>
      </c>
      <c r="J31" s="8"/>
      <c r="K31" s="8"/>
      <c r="L31" s="9"/>
      <c r="M31" s="8"/>
      <c r="N31" s="7" t="s">
        <v>53</v>
      </c>
      <c r="O31" s="7" t="s">
        <v>159</v>
      </c>
      <c r="P31" s="7" t="s">
        <v>55</v>
      </c>
      <c r="Q31" s="7" t="s">
        <v>56</v>
      </c>
      <c r="R31" s="7" t="s">
        <v>76</v>
      </c>
    </row>
    <row r="32" spans="1:18" ht="140.1" customHeight="1">
      <c r="A32" s="6" t="s">
        <v>163</v>
      </c>
      <c r="B32" s="6" t="s">
        <v>156</v>
      </c>
      <c r="C32" s="6" t="s">
        <v>83</v>
      </c>
      <c r="D32" s="6" t="s">
        <v>84</v>
      </c>
      <c r="E32" s="6" t="s">
        <v>49</v>
      </c>
      <c r="F32" s="6" t="s">
        <v>164</v>
      </c>
      <c r="G32" s="6" t="s">
        <v>165</v>
      </c>
      <c r="H32" s="6" t="s">
        <v>87</v>
      </c>
      <c r="I32" s="8" t="s">
        <v>4</v>
      </c>
      <c r="J32" s="8"/>
      <c r="K32" s="8"/>
      <c r="L32" s="9"/>
      <c r="M32" s="8"/>
      <c r="N32" s="6" t="s">
        <v>53</v>
      </c>
      <c r="O32" s="6" t="s">
        <v>159</v>
      </c>
      <c r="P32" s="6" t="s">
        <v>55</v>
      </c>
      <c r="Q32" s="6" t="s">
        <v>56</v>
      </c>
      <c r="R32" s="6" t="s">
        <v>76</v>
      </c>
    </row>
    <row r="33" spans="1:18" ht="140.1" customHeight="1">
      <c r="A33" s="7" t="s">
        <v>166</v>
      </c>
      <c r="B33" s="7" t="s">
        <v>156</v>
      </c>
      <c r="C33" s="7" t="s">
        <v>89</v>
      </c>
      <c r="D33" s="7" t="s">
        <v>48</v>
      </c>
      <c r="E33" s="7" t="s">
        <v>49</v>
      </c>
      <c r="F33" s="7" t="s">
        <v>167</v>
      </c>
      <c r="G33" s="7" t="s">
        <v>168</v>
      </c>
      <c r="H33" s="7" t="s">
        <v>92</v>
      </c>
      <c r="I33" s="8" t="s">
        <v>4</v>
      </c>
      <c r="J33" s="8"/>
      <c r="K33" s="8"/>
      <c r="L33" s="9"/>
      <c r="M33" s="8"/>
      <c r="N33" s="7" t="s">
        <v>53</v>
      </c>
      <c r="O33" s="7" t="s">
        <v>159</v>
      </c>
      <c r="P33" s="7" t="s">
        <v>55</v>
      </c>
      <c r="Q33" s="7" t="s">
        <v>56</v>
      </c>
      <c r="R33" s="7" t="s">
        <v>76</v>
      </c>
    </row>
    <row r="34" spans="1:18" ht="140.1" customHeight="1">
      <c r="A34" s="6" t="s">
        <v>169</v>
      </c>
      <c r="B34" s="6" t="s">
        <v>156</v>
      </c>
      <c r="C34" s="6" t="s">
        <v>94</v>
      </c>
      <c r="D34" s="6" t="s">
        <v>84</v>
      </c>
      <c r="E34" s="6" t="s">
        <v>49</v>
      </c>
      <c r="F34" s="6" t="s">
        <v>170</v>
      </c>
      <c r="G34" s="6" t="s">
        <v>171</v>
      </c>
      <c r="H34" s="6" t="s">
        <v>97</v>
      </c>
      <c r="I34" s="8" t="s">
        <v>4</v>
      </c>
      <c r="J34" s="8"/>
      <c r="K34" s="8"/>
      <c r="L34" s="9"/>
      <c r="M34" s="8"/>
      <c r="N34" s="6" t="s">
        <v>53</v>
      </c>
      <c r="O34" s="6" t="s">
        <v>159</v>
      </c>
      <c r="P34" s="6" t="s">
        <v>55</v>
      </c>
      <c r="Q34" s="6" t="s">
        <v>56</v>
      </c>
      <c r="R34" s="6" t="s">
        <v>76</v>
      </c>
    </row>
    <row r="35" spans="1:18" ht="140.1" customHeight="1">
      <c r="A35" s="7" t="s">
        <v>172</v>
      </c>
      <c r="B35" s="7" t="s">
        <v>156</v>
      </c>
      <c r="C35" s="7" t="s">
        <v>99</v>
      </c>
      <c r="D35" s="7" t="s">
        <v>48</v>
      </c>
      <c r="E35" s="7" t="s">
        <v>49</v>
      </c>
      <c r="F35" s="7" t="s">
        <v>100</v>
      </c>
      <c r="G35" s="7" t="s">
        <v>173</v>
      </c>
      <c r="H35" s="7" t="s">
        <v>102</v>
      </c>
      <c r="I35" s="8" t="s">
        <v>4</v>
      </c>
      <c r="J35" s="8"/>
      <c r="K35" s="8"/>
      <c r="L35" s="9"/>
      <c r="M35" s="8"/>
      <c r="N35" s="7" t="s">
        <v>53</v>
      </c>
      <c r="O35" s="7" t="s">
        <v>159</v>
      </c>
      <c r="P35" s="7" t="s">
        <v>63</v>
      </c>
      <c r="Q35" s="7" t="s">
        <v>56</v>
      </c>
      <c r="R35" s="7" t="s">
        <v>76</v>
      </c>
    </row>
    <row r="36" spans="1:18" ht="140.1" customHeight="1">
      <c r="A36" s="6" t="s">
        <v>174</v>
      </c>
      <c r="B36" s="6" t="s">
        <v>175</v>
      </c>
      <c r="C36" s="6" t="s">
        <v>71</v>
      </c>
      <c r="D36" s="6" t="s">
        <v>48</v>
      </c>
      <c r="E36" s="6" t="s">
        <v>49</v>
      </c>
      <c r="F36" s="6" t="s">
        <v>176</v>
      </c>
      <c r="G36" s="6" t="s">
        <v>177</v>
      </c>
      <c r="H36" s="6" t="s">
        <v>74</v>
      </c>
      <c r="I36" s="8" t="s">
        <v>4</v>
      </c>
      <c r="J36" s="8"/>
      <c r="K36" s="8"/>
      <c r="L36" s="9"/>
      <c r="M36" s="8"/>
      <c r="N36" s="6" t="s">
        <v>53</v>
      </c>
      <c r="O36" s="6" t="s">
        <v>178</v>
      </c>
      <c r="P36" s="6" t="s">
        <v>55</v>
      </c>
      <c r="Q36" s="6" t="s">
        <v>56</v>
      </c>
      <c r="R36" s="6" t="s">
        <v>76</v>
      </c>
    </row>
    <row r="37" spans="1:18" ht="140.1" customHeight="1">
      <c r="A37" s="7" t="s">
        <v>179</v>
      </c>
      <c r="B37" s="7" t="s">
        <v>175</v>
      </c>
      <c r="C37" s="7" t="s">
        <v>78</v>
      </c>
      <c r="D37" s="7" t="s">
        <v>48</v>
      </c>
      <c r="E37" s="7" t="s">
        <v>49</v>
      </c>
      <c r="F37" s="7" t="s">
        <v>180</v>
      </c>
      <c r="G37" s="7" t="s">
        <v>181</v>
      </c>
      <c r="H37" s="7" t="s">
        <v>81</v>
      </c>
      <c r="I37" s="8" t="s">
        <v>4</v>
      </c>
      <c r="J37" s="8"/>
      <c r="K37" s="8"/>
      <c r="L37" s="9"/>
      <c r="M37" s="8"/>
      <c r="N37" s="7" t="s">
        <v>53</v>
      </c>
      <c r="O37" s="7" t="s">
        <v>178</v>
      </c>
      <c r="P37" s="7" t="s">
        <v>55</v>
      </c>
      <c r="Q37" s="7" t="s">
        <v>56</v>
      </c>
      <c r="R37" s="7" t="s">
        <v>76</v>
      </c>
    </row>
    <row r="38" spans="1:18" ht="140.1" customHeight="1">
      <c r="A38" s="6" t="s">
        <v>182</v>
      </c>
      <c r="B38" s="6" t="s">
        <v>175</v>
      </c>
      <c r="C38" s="6" t="s">
        <v>83</v>
      </c>
      <c r="D38" s="6" t="s">
        <v>84</v>
      </c>
      <c r="E38" s="6" t="s">
        <v>49</v>
      </c>
      <c r="F38" s="6" t="s">
        <v>183</v>
      </c>
      <c r="G38" s="6" t="s">
        <v>184</v>
      </c>
      <c r="H38" s="6" t="s">
        <v>87</v>
      </c>
      <c r="I38" s="8" t="s">
        <v>4</v>
      </c>
      <c r="J38" s="8"/>
      <c r="K38" s="8"/>
      <c r="L38" s="9"/>
      <c r="M38" s="8"/>
      <c r="N38" s="6" t="s">
        <v>53</v>
      </c>
      <c r="O38" s="6" t="s">
        <v>178</v>
      </c>
      <c r="P38" s="6" t="s">
        <v>55</v>
      </c>
      <c r="Q38" s="6" t="s">
        <v>56</v>
      </c>
      <c r="R38" s="6" t="s">
        <v>76</v>
      </c>
    </row>
    <row r="39" spans="1:18" ht="140.1" customHeight="1">
      <c r="A39" s="7" t="s">
        <v>185</v>
      </c>
      <c r="B39" s="7" t="s">
        <v>175</v>
      </c>
      <c r="C39" s="7" t="s">
        <v>89</v>
      </c>
      <c r="D39" s="7" t="s">
        <v>48</v>
      </c>
      <c r="E39" s="7" t="s">
        <v>49</v>
      </c>
      <c r="F39" s="7" t="s">
        <v>186</v>
      </c>
      <c r="G39" s="7" t="s">
        <v>187</v>
      </c>
      <c r="H39" s="7" t="s">
        <v>92</v>
      </c>
      <c r="I39" s="8" t="s">
        <v>4</v>
      </c>
      <c r="J39" s="8"/>
      <c r="K39" s="8"/>
      <c r="L39" s="9"/>
      <c r="M39" s="8"/>
      <c r="N39" s="7" t="s">
        <v>53</v>
      </c>
      <c r="O39" s="7" t="s">
        <v>178</v>
      </c>
      <c r="P39" s="7" t="s">
        <v>55</v>
      </c>
      <c r="Q39" s="7" t="s">
        <v>56</v>
      </c>
      <c r="R39" s="7" t="s">
        <v>76</v>
      </c>
    </row>
    <row r="40" spans="1:18" ht="140.1" customHeight="1">
      <c r="A40" s="6" t="s">
        <v>188</v>
      </c>
      <c r="B40" s="6" t="s">
        <v>175</v>
      </c>
      <c r="C40" s="6" t="s">
        <v>94</v>
      </c>
      <c r="D40" s="6" t="s">
        <v>84</v>
      </c>
      <c r="E40" s="6" t="s">
        <v>49</v>
      </c>
      <c r="F40" s="6" t="s">
        <v>189</v>
      </c>
      <c r="G40" s="6" t="s">
        <v>190</v>
      </c>
      <c r="H40" s="6" t="s">
        <v>97</v>
      </c>
      <c r="I40" s="8" t="s">
        <v>4</v>
      </c>
      <c r="J40" s="8"/>
      <c r="K40" s="8"/>
      <c r="L40" s="9"/>
      <c r="M40" s="8"/>
      <c r="N40" s="6" t="s">
        <v>53</v>
      </c>
      <c r="O40" s="6" t="s">
        <v>178</v>
      </c>
      <c r="P40" s="6" t="s">
        <v>55</v>
      </c>
      <c r="Q40" s="6" t="s">
        <v>56</v>
      </c>
      <c r="R40" s="6" t="s">
        <v>76</v>
      </c>
    </row>
    <row r="41" spans="1:18" ht="140.1" customHeight="1">
      <c r="A41" s="7" t="s">
        <v>191</v>
      </c>
      <c r="B41" s="7" t="s">
        <v>175</v>
      </c>
      <c r="C41" s="7" t="s">
        <v>99</v>
      </c>
      <c r="D41" s="7" t="s">
        <v>48</v>
      </c>
      <c r="E41" s="7" t="s">
        <v>49</v>
      </c>
      <c r="F41" s="7" t="s">
        <v>100</v>
      </c>
      <c r="G41" s="7" t="s">
        <v>192</v>
      </c>
      <c r="H41" s="7" t="s">
        <v>102</v>
      </c>
      <c r="I41" s="8" t="s">
        <v>4</v>
      </c>
      <c r="J41" s="8"/>
      <c r="K41" s="8"/>
      <c r="L41" s="9"/>
      <c r="M41" s="8"/>
      <c r="N41" s="7" t="s">
        <v>53</v>
      </c>
      <c r="O41" s="7" t="s">
        <v>178</v>
      </c>
      <c r="P41" s="7" t="s">
        <v>63</v>
      </c>
      <c r="Q41" s="7" t="s">
        <v>56</v>
      </c>
      <c r="R41" s="7" t="s">
        <v>76</v>
      </c>
    </row>
    <row r="42" spans="1:18" ht="140.1" customHeight="1">
      <c r="A42" s="6" t="s">
        <v>193</v>
      </c>
      <c r="B42" s="6" t="s">
        <v>194</v>
      </c>
      <c r="C42" s="6" t="s">
        <v>71</v>
      </c>
      <c r="D42" s="6" t="s">
        <v>48</v>
      </c>
      <c r="E42" s="6" t="s">
        <v>49</v>
      </c>
      <c r="F42" s="6" t="s">
        <v>195</v>
      </c>
      <c r="G42" s="6" t="s">
        <v>196</v>
      </c>
      <c r="H42" s="6" t="s">
        <v>74</v>
      </c>
      <c r="I42" s="8" t="s">
        <v>4</v>
      </c>
      <c r="J42" s="8"/>
      <c r="K42" s="8"/>
      <c r="L42" s="9"/>
      <c r="M42" s="8"/>
      <c r="N42" s="6" t="s">
        <v>53</v>
      </c>
      <c r="O42" s="6" t="s">
        <v>197</v>
      </c>
      <c r="P42" s="6" t="s">
        <v>55</v>
      </c>
      <c r="Q42" s="6" t="s">
        <v>56</v>
      </c>
      <c r="R42" s="6" t="s">
        <v>76</v>
      </c>
    </row>
    <row r="43" spans="1:18" ht="140.1" customHeight="1">
      <c r="A43" s="7" t="s">
        <v>198</v>
      </c>
      <c r="B43" s="7" t="s">
        <v>194</v>
      </c>
      <c r="C43" s="7" t="s">
        <v>78</v>
      </c>
      <c r="D43" s="7" t="s">
        <v>48</v>
      </c>
      <c r="E43" s="7" t="s">
        <v>49</v>
      </c>
      <c r="F43" s="7" t="s">
        <v>199</v>
      </c>
      <c r="G43" s="7" t="s">
        <v>200</v>
      </c>
      <c r="H43" s="7" t="s">
        <v>81</v>
      </c>
      <c r="I43" s="8" t="s">
        <v>4</v>
      </c>
      <c r="J43" s="8"/>
      <c r="K43" s="8"/>
      <c r="L43" s="9"/>
      <c r="M43" s="8"/>
      <c r="N43" s="7" t="s">
        <v>53</v>
      </c>
      <c r="O43" s="7" t="s">
        <v>197</v>
      </c>
      <c r="P43" s="7" t="s">
        <v>55</v>
      </c>
      <c r="Q43" s="7" t="s">
        <v>56</v>
      </c>
      <c r="R43" s="7" t="s">
        <v>76</v>
      </c>
    </row>
    <row r="44" spans="1:18" ht="140.1" customHeight="1">
      <c r="A44" s="6" t="s">
        <v>201</v>
      </c>
      <c r="B44" s="6" t="s">
        <v>194</v>
      </c>
      <c r="C44" s="6" t="s">
        <v>83</v>
      </c>
      <c r="D44" s="6" t="s">
        <v>84</v>
      </c>
      <c r="E44" s="6" t="s">
        <v>49</v>
      </c>
      <c r="F44" s="6" t="s">
        <v>202</v>
      </c>
      <c r="G44" s="6" t="s">
        <v>203</v>
      </c>
      <c r="H44" s="6" t="s">
        <v>87</v>
      </c>
      <c r="I44" s="8" t="s">
        <v>4</v>
      </c>
      <c r="J44" s="8"/>
      <c r="K44" s="8"/>
      <c r="L44" s="9"/>
      <c r="M44" s="8"/>
      <c r="N44" s="6" t="s">
        <v>53</v>
      </c>
      <c r="O44" s="6" t="s">
        <v>197</v>
      </c>
      <c r="P44" s="6" t="s">
        <v>55</v>
      </c>
      <c r="Q44" s="6" t="s">
        <v>56</v>
      </c>
      <c r="R44" s="6" t="s">
        <v>76</v>
      </c>
    </row>
    <row r="45" spans="1:18" ht="140.1" customHeight="1">
      <c r="A45" s="7" t="s">
        <v>204</v>
      </c>
      <c r="B45" s="7" t="s">
        <v>194</v>
      </c>
      <c r="C45" s="7" t="s">
        <v>89</v>
      </c>
      <c r="D45" s="7" t="s">
        <v>48</v>
      </c>
      <c r="E45" s="7" t="s">
        <v>49</v>
      </c>
      <c r="F45" s="7" t="s">
        <v>205</v>
      </c>
      <c r="G45" s="7" t="s">
        <v>206</v>
      </c>
      <c r="H45" s="7" t="s">
        <v>92</v>
      </c>
      <c r="I45" s="8" t="s">
        <v>4</v>
      </c>
      <c r="J45" s="8"/>
      <c r="K45" s="8"/>
      <c r="L45" s="9"/>
      <c r="M45" s="8"/>
      <c r="N45" s="7" t="s">
        <v>53</v>
      </c>
      <c r="O45" s="7" t="s">
        <v>197</v>
      </c>
      <c r="P45" s="7" t="s">
        <v>55</v>
      </c>
      <c r="Q45" s="7" t="s">
        <v>56</v>
      </c>
      <c r="R45" s="7" t="s">
        <v>76</v>
      </c>
    </row>
    <row r="46" spans="1:18" ht="140.1" customHeight="1">
      <c r="A46" s="6" t="s">
        <v>207</v>
      </c>
      <c r="B46" s="6" t="s">
        <v>194</v>
      </c>
      <c r="C46" s="6" t="s">
        <v>94</v>
      </c>
      <c r="D46" s="6" t="s">
        <v>84</v>
      </c>
      <c r="E46" s="6" t="s">
        <v>49</v>
      </c>
      <c r="F46" s="6" t="s">
        <v>208</v>
      </c>
      <c r="G46" s="6" t="s">
        <v>209</v>
      </c>
      <c r="H46" s="6" t="s">
        <v>97</v>
      </c>
      <c r="I46" s="8" t="s">
        <v>4</v>
      </c>
      <c r="J46" s="8"/>
      <c r="K46" s="8"/>
      <c r="L46" s="9"/>
      <c r="M46" s="8"/>
      <c r="N46" s="6" t="s">
        <v>53</v>
      </c>
      <c r="O46" s="6" t="s">
        <v>197</v>
      </c>
      <c r="P46" s="6" t="s">
        <v>55</v>
      </c>
      <c r="Q46" s="6" t="s">
        <v>56</v>
      </c>
      <c r="R46" s="6" t="s">
        <v>76</v>
      </c>
    </row>
    <row r="47" spans="1:18" ht="140.1" customHeight="1">
      <c r="A47" s="7" t="s">
        <v>210</v>
      </c>
      <c r="B47" s="7" t="s">
        <v>194</v>
      </c>
      <c r="C47" s="7" t="s">
        <v>99</v>
      </c>
      <c r="D47" s="7" t="s">
        <v>48</v>
      </c>
      <c r="E47" s="7" t="s">
        <v>49</v>
      </c>
      <c r="F47" s="7" t="s">
        <v>100</v>
      </c>
      <c r="G47" s="7" t="s">
        <v>211</v>
      </c>
      <c r="H47" s="7" t="s">
        <v>102</v>
      </c>
      <c r="I47" s="8" t="s">
        <v>4</v>
      </c>
      <c r="J47" s="8"/>
      <c r="K47" s="8"/>
      <c r="L47" s="9"/>
      <c r="M47" s="8"/>
      <c r="N47" s="7" t="s">
        <v>53</v>
      </c>
      <c r="O47" s="7" t="s">
        <v>197</v>
      </c>
      <c r="P47" s="7" t="s">
        <v>63</v>
      </c>
      <c r="Q47" s="7" t="s">
        <v>56</v>
      </c>
      <c r="R47" s="7" t="s">
        <v>76</v>
      </c>
    </row>
    <row r="48" spans="1:18" ht="140.1" customHeight="1">
      <c r="A48" s="6" t="s">
        <v>212</v>
      </c>
      <c r="B48" s="6" t="s">
        <v>213</v>
      </c>
      <c r="C48" s="6" t="s">
        <v>71</v>
      </c>
      <c r="D48" s="6" t="s">
        <v>48</v>
      </c>
      <c r="E48" s="6" t="s">
        <v>49</v>
      </c>
      <c r="F48" s="6" t="s">
        <v>138</v>
      </c>
      <c r="G48" s="6" t="s">
        <v>214</v>
      </c>
      <c r="H48" s="6" t="s">
        <v>74</v>
      </c>
      <c r="I48" s="8" t="s">
        <v>4</v>
      </c>
      <c r="J48" s="8"/>
      <c r="K48" s="8"/>
      <c r="L48" s="9"/>
      <c r="M48" s="8"/>
      <c r="N48" s="6" t="s">
        <v>53</v>
      </c>
      <c r="O48" s="6" t="s">
        <v>215</v>
      </c>
      <c r="P48" s="6" t="s">
        <v>55</v>
      </c>
      <c r="Q48" s="6" t="s">
        <v>56</v>
      </c>
      <c r="R48" s="6" t="s">
        <v>76</v>
      </c>
    </row>
    <row r="49" spans="1:18" ht="140.1" customHeight="1">
      <c r="A49" s="7" t="s">
        <v>216</v>
      </c>
      <c r="B49" s="7" t="s">
        <v>213</v>
      </c>
      <c r="C49" s="7" t="s">
        <v>78</v>
      </c>
      <c r="D49" s="7" t="s">
        <v>48</v>
      </c>
      <c r="E49" s="7" t="s">
        <v>49</v>
      </c>
      <c r="F49" s="7" t="s">
        <v>142</v>
      </c>
      <c r="G49" s="7" t="s">
        <v>217</v>
      </c>
      <c r="H49" s="7" t="s">
        <v>81</v>
      </c>
      <c r="I49" s="8" t="s">
        <v>4</v>
      </c>
      <c r="J49" s="8"/>
      <c r="K49" s="8"/>
      <c r="L49" s="9"/>
      <c r="M49" s="8"/>
      <c r="N49" s="7" t="s">
        <v>53</v>
      </c>
      <c r="O49" s="7" t="s">
        <v>215</v>
      </c>
      <c r="P49" s="7" t="s">
        <v>55</v>
      </c>
      <c r="Q49" s="7" t="s">
        <v>56</v>
      </c>
      <c r="R49" s="7" t="s">
        <v>76</v>
      </c>
    </row>
    <row r="50" spans="1:18" ht="140.1" customHeight="1">
      <c r="A50" s="6" t="s">
        <v>218</v>
      </c>
      <c r="B50" s="6" t="s">
        <v>213</v>
      </c>
      <c r="C50" s="6" t="s">
        <v>83</v>
      </c>
      <c r="D50" s="6" t="s">
        <v>84</v>
      </c>
      <c r="E50" s="6" t="s">
        <v>49</v>
      </c>
      <c r="F50" s="6" t="s">
        <v>145</v>
      </c>
      <c r="G50" s="6" t="s">
        <v>219</v>
      </c>
      <c r="H50" s="6" t="s">
        <v>87</v>
      </c>
      <c r="I50" s="8" t="s">
        <v>4</v>
      </c>
      <c r="J50" s="8"/>
      <c r="K50" s="8"/>
      <c r="L50" s="9"/>
      <c r="M50" s="8"/>
      <c r="N50" s="6" t="s">
        <v>53</v>
      </c>
      <c r="O50" s="6" t="s">
        <v>215</v>
      </c>
      <c r="P50" s="6" t="s">
        <v>55</v>
      </c>
      <c r="Q50" s="6" t="s">
        <v>56</v>
      </c>
      <c r="R50" s="6" t="s">
        <v>76</v>
      </c>
    </row>
    <row r="51" spans="1:18" ht="140.1" customHeight="1">
      <c r="A51" s="7" t="s">
        <v>220</v>
      </c>
      <c r="B51" s="7" t="s">
        <v>213</v>
      </c>
      <c r="C51" s="7" t="s">
        <v>89</v>
      </c>
      <c r="D51" s="7" t="s">
        <v>48</v>
      </c>
      <c r="E51" s="7" t="s">
        <v>49</v>
      </c>
      <c r="F51" s="7" t="s">
        <v>148</v>
      </c>
      <c r="G51" s="7" t="s">
        <v>221</v>
      </c>
      <c r="H51" s="7" t="s">
        <v>92</v>
      </c>
      <c r="I51" s="8" t="s">
        <v>4</v>
      </c>
      <c r="J51" s="8"/>
      <c r="K51" s="8"/>
      <c r="L51" s="9"/>
      <c r="M51" s="8"/>
      <c r="N51" s="7" t="s">
        <v>53</v>
      </c>
      <c r="O51" s="7" t="s">
        <v>215</v>
      </c>
      <c r="P51" s="7" t="s">
        <v>55</v>
      </c>
      <c r="Q51" s="7" t="s">
        <v>56</v>
      </c>
      <c r="R51" s="7" t="s">
        <v>76</v>
      </c>
    </row>
    <row r="52" spans="1:18" ht="140.1" customHeight="1">
      <c r="A52" s="6" t="s">
        <v>222</v>
      </c>
      <c r="B52" s="6" t="s">
        <v>213</v>
      </c>
      <c r="C52" s="6" t="s">
        <v>94</v>
      </c>
      <c r="D52" s="6" t="s">
        <v>84</v>
      </c>
      <c r="E52" s="6" t="s">
        <v>49</v>
      </c>
      <c r="F52" s="6" t="s">
        <v>151</v>
      </c>
      <c r="G52" s="6" t="s">
        <v>223</v>
      </c>
      <c r="H52" s="6" t="s">
        <v>97</v>
      </c>
      <c r="I52" s="8" t="s">
        <v>4</v>
      </c>
      <c r="J52" s="8"/>
      <c r="K52" s="8"/>
      <c r="L52" s="9"/>
      <c r="M52" s="8"/>
      <c r="N52" s="6" t="s">
        <v>53</v>
      </c>
      <c r="O52" s="6" t="s">
        <v>215</v>
      </c>
      <c r="P52" s="6" t="s">
        <v>55</v>
      </c>
      <c r="Q52" s="6" t="s">
        <v>56</v>
      </c>
      <c r="R52" s="6" t="s">
        <v>76</v>
      </c>
    </row>
    <row r="53" spans="1:18" ht="140.1" customHeight="1">
      <c r="A53" s="7" t="s">
        <v>224</v>
      </c>
      <c r="B53" s="7" t="s">
        <v>213</v>
      </c>
      <c r="C53" s="7" t="s">
        <v>99</v>
      </c>
      <c r="D53" s="7" t="s">
        <v>48</v>
      </c>
      <c r="E53" s="7" t="s">
        <v>49</v>
      </c>
      <c r="F53" s="7" t="s">
        <v>100</v>
      </c>
      <c r="G53" s="7" t="s">
        <v>225</v>
      </c>
      <c r="H53" s="7" t="s">
        <v>102</v>
      </c>
      <c r="I53" s="8" t="s">
        <v>4</v>
      </c>
      <c r="J53" s="8"/>
      <c r="K53" s="8"/>
      <c r="L53" s="9"/>
      <c r="M53" s="8"/>
      <c r="N53" s="7" t="s">
        <v>53</v>
      </c>
      <c r="O53" s="7" t="s">
        <v>215</v>
      </c>
      <c r="P53" s="7" t="s">
        <v>63</v>
      </c>
      <c r="Q53" s="7" t="s">
        <v>56</v>
      </c>
      <c r="R53" s="7" t="s">
        <v>76</v>
      </c>
    </row>
    <row r="54" spans="1:18" ht="140.1" customHeight="1">
      <c r="A54" s="6" t="s">
        <v>226</v>
      </c>
      <c r="B54" s="6" t="s">
        <v>227</v>
      </c>
      <c r="C54" s="6" t="s">
        <v>71</v>
      </c>
      <c r="D54" s="6" t="s">
        <v>48</v>
      </c>
      <c r="E54" s="6" t="s">
        <v>49</v>
      </c>
      <c r="F54" s="6" t="s">
        <v>228</v>
      </c>
      <c r="G54" s="6" t="s">
        <v>229</v>
      </c>
      <c r="H54" s="6" t="s">
        <v>74</v>
      </c>
      <c r="I54" s="8" t="s">
        <v>4</v>
      </c>
      <c r="J54" s="8"/>
      <c r="K54" s="8"/>
      <c r="L54" s="9"/>
      <c r="M54" s="8"/>
      <c r="N54" s="6" t="s">
        <v>53</v>
      </c>
      <c r="O54" s="6" t="s">
        <v>230</v>
      </c>
      <c r="P54" s="6" t="s">
        <v>55</v>
      </c>
      <c r="Q54" s="6" t="s">
        <v>56</v>
      </c>
      <c r="R54" s="6" t="s">
        <v>76</v>
      </c>
    </row>
    <row r="55" spans="1:18" ht="140.1" customHeight="1">
      <c r="A55" s="7" t="s">
        <v>231</v>
      </c>
      <c r="B55" s="7" t="s">
        <v>227</v>
      </c>
      <c r="C55" s="7" t="s">
        <v>78</v>
      </c>
      <c r="D55" s="7" t="s">
        <v>48</v>
      </c>
      <c r="E55" s="7" t="s">
        <v>49</v>
      </c>
      <c r="F55" s="7" t="s">
        <v>232</v>
      </c>
      <c r="G55" s="7" t="s">
        <v>233</v>
      </c>
      <c r="H55" s="7" t="s">
        <v>81</v>
      </c>
      <c r="I55" s="8" t="s">
        <v>4</v>
      </c>
      <c r="J55" s="8"/>
      <c r="K55" s="8"/>
      <c r="L55" s="9"/>
      <c r="M55" s="8"/>
      <c r="N55" s="7" t="s">
        <v>53</v>
      </c>
      <c r="O55" s="7" t="s">
        <v>230</v>
      </c>
      <c r="P55" s="7" t="s">
        <v>55</v>
      </c>
      <c r="Q55" s="7" t="s">
        <v>56</v>
      </c>
      <c r="R55" s="7" t="s">
        <v>76</v>
      </c>
    </row>
    <row r="56" spans="1:18" ht="140.1" customHeight="1">
      <c r="A56" s="6" t="s">
        <v>234</v>
      </c>
      <c r="B56" s="6" t="s">
        <v>227</v>
      </c>
      <c r="C56" s="6" t="s">
        <v>83</v>
      </c>
      <c r="D56" s="6" t="s">
        <v>84</v>
      </c>
      <c r="E56" s="6" t="s">
        <v>49</v>
      </c>
      <c r="F56" s="6" t="s">
        <v>235</v>
      </c>
      <c r="G56" s="6" t="s">
        <v>236</v>
      </c>
      <c r="H56" s="6" t="s">
        <v>87</v>
      </c>
      <c r="I56" s="8" t="s">
        <v>4</v>
      </c>
      <c r="J56" s="8"/>
      <c r="K56" s="8"/>
      <c r="L56" s="9"/>
      <c r="M56" s="8"/>
      <c r="N56" s="6" t="s">
        <v>53</v>
      </c>
      <c r="O56" s="6" t="s">
        <v>230</v>
      </c>
      <c r="P56" s="6" t="s">
        <v>55</v>
      </c>
      <c r="Q56" s="6" t="s">
        <v>56</v>
      </c>
      <c r="R56" s="6" t="s">
        <v>76</v>
      </c>
    </row>
    <row r="57" spans="1:18" ht="140.1" customHeight="1">
      <c r="A57" s="7" t="s">
        <v>237</v>
      </c>
      <c r="B57" s="7" t="s">
        <v>227</v>
      </c>
      <c r="C57" s="7" t="s">
        <v>89</v>
      </c>
      <c r="D57" s="7" t="s">
        <v>48</v>
      </c>
      <c r="E57" s="7" t="s">
        <v>49</v>
      </c>
      <c r="F57" s="7" t="s">
        <v>238</v>
      </c>
      <c r="G57" s="7" t="s">
        <v>239</v>
      </c>
      <c r="H57" s="7" t="s">
        <v>92</v>
      </c>
      <c r="I57" s="8" t="s">
        <v>4</v>
      </c>
      <c r="J57" s="8"/>
      <c r="K57" s="8"/>
      <c r="L57" s="9"/>
      <c r="M57" s="8"/>
      <c r="N57" s="7" t="s">
        <v>53</v>
      </c>
      <c r="O57" s="7" t="s">
        <v>230</v>
      </c>
      <c r="P57" s="7" t="s">
        <v>55</v>
      </c>
      <c r="Q57" s="7" t="s">
        <v>56</v>
      </c>
      <c r="R57" s="7" t="s">
        <v>76</v>
      </c>
    </row>
    <row r="58" spans="1:18" ht="140.1" customHeight="1">
      <c r="A58" s="6" t="s">
        <v>240</v>
      </c>
      <c r="B58" s="6" t="s">
        <v>227</v>
      </c>
      <c r="C58" s="6" t="s">
        <v>94</v>
      </c>
      <c r="D58" s="6" t="s">
        <v>84</v>
      </c>
      <c r="E58" s="6" t="s">
        <v>49</v>
      </c>
      <c r="F58" s="6" t="s">
        <v>241</v>
      </c>
      <c r="G58" s="6" t="s">
        <v>242</v>
      </c>
      <c r="H58" s="6" t="s">
        <v>97</v>
      </c>
      <c r="I58" s="8" t="s">
        <v>4</v>
      </c>
      <c r="J58" s="8"/>
      <c r="K58" s="8"/>
      <c r="L58" s="9"/>
      <c r="M58" s="8"/>
      <c r="N58" s="6" t="s">
        <v>53</v>
      </c>
      <c r="O58" s="6" t="s">
        <v>230</v>
      </c>
      <c r="P58" s="6" t="s">
        <v>55</v>
      </c>
      <c r="Q58" s="6" t="s">
        <v>56</v>
      </c>
      <c r="R58" s="6" t="s">
        <v>76</v>
      </c>
    </row>
    <row r="59" spans="1:18" ht="140.1" customHeight="1">
      <c r="A59" s="7" t="s">
        <v>243</v>
      </c>
      <c r="B59" s="7" t="s">
        <v>227</v>
      </c>
      <c r="C59" s="7" t="s">
        <v>99</v>
      </c>
      <c r="D59" s="7" t="s">
        <v>48</v>
      </c>
      <c r="E59" s="7" t="s">
        <v>49</v>
      </c>
      <c r="F59" s="7" t="s">
        <v>100</v>
      </c>
      <c r="G59" s="7" t="s">
        <v>244</v>
      </c>
      <c r="H59" s="7" t="s">
        <v>102</v>
      </c>
      <c r="I59" s="8" t="s">
        <v>4</v>
      </c>
      <c r="J59" s="8"/>
      <c r="K59" s="8"/>
      <c r="L59" s="9"/>
      <c r="M59" s="8"/>
      <c r="N59" s="7" t="s">
        <v>53</v>
      </c>
      <c r="O59" s="7" t="s">
        <v>230</v>
      </c>
      <c r="P59" s="7" t="s">
        <v>63</v>
      </c>
      <c r="Q59" s="7" t="s">
        <v>56</v>
      </c>
      <c r="R59" s="7" t="s">
        <v>76</v>
      </c>
    </row>
    <row r="60" spans="1:18" ht="140.1" customHeight="1">
      <c r="A60" s="6" t="s">
        <v>245</v>
      </c>
      <c r="B60" s="6" t="s">
        <v>246</v>
      </c>
      <c r="C60" s="6" t="s">
        <v>71</v>
      </c>
      <c r="D60" s="6" t="s">
        <v>48</v>
      </c>
      <c r="E60" s="6" t="s">
        <v>49</v>
      </c>
      <c r="F60" s="6" t="s">
        <v>247</v>
      </c>
      <c r="G60" s="6" t="s">
        <v>248</v>
      </c>
      <c r="H60" s="6" t="s">
        <v>74</v>
      </c>
      <c r="I60" s="8" t="s">
        <v>4</v>
      </c>
      <c r="J60" s="8"/>
      <c r="K60" s="8"/>
      <c r="L60" s="9"/>
      <c r="M60" s="8"/>
      <c r="N60" s="6" t="s">
        <v>53</v>
      </c>
      <c r="O60" s="6" t="s">
        <v>249</v>
      </c>
      <c r="P60" s="6" t="s">
        <v>55</v>
      </c>
      <c r="Q60" s="6" t="s">
        <v>56</v>
      </c>
      <c r="R60" s="6" t="s">
        <v>76</v>
      </c>
    </row>
    <row r="61" spans="1:18" ht="140.1" customHeight="1">
      <c r="A61" s="7" t="s">
        <v>250</v>
      </c>
      <c r="B61" s="7" t="s">
        <v>246</v>
      </c>
      <c r="C61" s="7" t="s">
        <v>78</v>
      </c>
      <c r="D61" s="7" t="s">
        <v>48</v>
      </c>
      <c r="E61" s="7" t="s">
        <v>49</v>
      </c>
      <c r="F61" s="7" t="s">
        <v>251</v>
      </c>
      <c r="G61" s="7" t="s">
        <v>252</v>
      </c>
      <c r="H61" s="7" t="s">
        <v>81</v>
      </c>
      <c r="I61" s="8" t="s">
        <v>4</v>
      </c>
      <c r="J61" s="8"/>
      <c r="K61" s="8"/>
      <c r="L61" s="9"/>
      <c r="M61" s="8"/>
      <c r="N61" s="7" t="s">
        <v>53</v>
      </c>
      <c r="O61" s="7" t="s">
        <v>249</v>
      </c>
      <c r="P61" s="7" t="s">
        <v>55</v>
      </c>
      <c r="Q61" s="7" t="s">
        <v>56</v>
      </c>
      <c r="R61" s="7" t="s">
        <v>76</v>
      </c>
    </row>
    <row r="62" spans="1:18" ht="140.1" customHeight="1">
      <c r="A62" s="6" t="s">
        <v>253</v>
      </c>
      <c r="B62" s="6" t="s">
        <v>246</v>
      </c>
      <c r="C62" s="6" t="s">
        <v>83</v>
      </c>
      <c r="D62" s="6" t="s">
        <v>84</v>
      </c>
      <c r="E62" s="6" t="s">
        <v>49</v>
      </c>
      <c r="F62" s="6" t="s">
        <v>254</v>
      </c>
      <c r="G62" s="6" t="s">
        <v>255</v>
      </c>
      <c r="H62" s="6" t="s">
        <v>87</v>
      </c>
      <c r="I62" s="8" t="s">
        <v>4</v>
      </c>
      <c r="J62" s="8"/>
      <c r="K62" s="8"/>
      <c r="L62" s="9"/>
      <c r="M62" s="8"/>
      <c r="N62" s="6" t="s">
        <v>53</v>
      </c>
      <c r="O62" s="6" t="s">
        <v>249</v>
      </c>
      <c r="P62" s="6" t="s">
        <v>55</v>
      </c>
      <c r="Q62" s="6" t="s">
        <v>56</v>
      </c>
      <c r="R62" s="6" t="s">
        <v>76</v>
      </c>
    </row>
    <row r="63" spans="1:18" ht="140.1" customHeight="1">
      <c r="A63" s="7" t="s">
        <v>256</v>
      </c>
      <c r="B63" s="7" t="s">
        <v>246</v>
      </c>
      <c r="C63" s="7" t="s">
        <v>89</v>
      </c>
      <c r="D63" s="7" t="s">
        <v>48</v>
      </c>
      <c r="E63" s="7" t="s">
        <v>49</v>
      </c>
      <c r="F63" s="7" t="s">
        <v>257</v>
      </c>
      <c r="G63" s="7" t="s">
        <v>258</v>
      </c>
      <c r="H63" s="7" t="s">
        <v>92</v>
      </c>
      <c r="I63" s="8" t="s">
        <v>4</v>
      </c>
      <c r="J63" s="8"/>
      <c r="K63" s="8"/>
      <c r="L63" s="9"/>
      <c r="M63" s="8"/>
      <c r="N63" s="7" t="s">
        <v>53</v>
      </c>
      <c r="O63" s="7" t="s">
        <v>249</v>
      </c>
      <c r="P63" s="7" t="s">
        <v>55</v>
      </c>
      <c r="Q63" s="7" t="s">
        <v>56</v>
      </c>
      <c r="R63" s="7" t="s">
        <v>76</v>
      </c>
    </row>
    <row r="64" spans="1:18" ht="140.1" customHeight="1">
      <c r="A64" s="6" t="s">
        <v>259</v>
      </c>
      <c r="B64" s="6" t="s">
        <v>246</v>
      </c>
      <c r="C64" s="6" t="s">
        <v>94</v>
      </c>
      <c r="D64" s="6" t="s">
        <v>84</v>
      </c>
      <c r="E64" s="6" t="s">
        <v>49</v>
      </c>
      <c r="F64" s="6" t="s">
        <v>260</v>
      </c>
      <c r="G64" s="6" t="s">
        <v>261</v>
      </c>
      <c r="H64" s="6" t="s">
        <v>97</v>
      </c>
      <c r="I64" s="8" t="s">
        <v>4</v>
      </c>
      <c r="J64" s="8"/>
      <c r="K64" s="8"/>
      <c r="L64" s="9"/>
      <c r="M64" s="8"/>
      <c r="N64" s="6" t="s">
        <v>53</v>
      </c>
      <c r="O64" s="6" t="s">
        <v>249</v>
      </c>
      <c r="P64" s="6" t="s">
        <v>55</v>
      </c>
      <c r="Q64" s="6" t="s">
        <v>56</v>
      </c>
      <c r="R64" s="6" t="s">
        <v>76</v>
      </c>
    </row>
    <row r="65" spans="1:18" ht="140.1" customHeight="1">
      <c r="A65" s="7" t="s">
        <v>262</v>
      </c>
      <c r="B65" s="7" t="s">
        <v>246</v>
      </c>
      <c r="C65" s="7" t="s">
        <v>99</v>
      </c>
      <c r="D65" s="7" t="s">
        <v>48</v>
      </c>
      <c r="E65" s="7" t="s">
        <v>49</v>
      </c>
      <c r="F65" s="7" t="s">
        <v>100</v>
      </c>
      <c r="G65" s="7" t="s">
        <v>263</v>
      </c>
      <c r="H65" s="7" t="s">
        <v>102</v>
      </c>
      <c r="I65" s="8" t="s">
        <v>4</v>
      </c>
      <c r="J65" s="8"/>
      <c r="K65" s="8"/>
      <c r="L65" s="9"/>
      <c r="M65" s="8"/>
      <c r="N65" s="7" t="s">
        <v>53</v>
      </c>
      <c r="O65" s="7" t="s">
        <v>249</v>
      </c>
      <c r="P65" s="7" t="s">
        <v>63</v>
      </c>
      <c r="Q65" s="7" t="s">
        <v>56</v>
      </c>
      <c r="R65" s="7" t="s">
        <v>76</v>
      </c>
    </row>
    <row r="66" spans="1:18" ht="140.1" customHeight="1">
      <c r="A66" s="6" t="s">
        <v>264</v>
      </c>
      <c r="B66" s="6" t="s">
        <v>265</v>
      </c>
      <c r="C66" s="6" t="s">
        <v>266</v>
      </c>
      <c r="D66" s="6" t="s">
        <v>48</v>
      </c>
      <c r="E66" s="6" t="s">
        <v>49</v>
      </c>
      <c r="F66" s="6" t="s">
        <v>267</v>
      </c>
      <c r="G66" s="6" t="s">
        <v>268</v>
      </c>
      <c r="H66" s="6" t="s">
        <v>269</v>
      </c>
      <c r="I66" s="8" t="s">
        <v>4</v>
      </c>
      <c r="J66" s="8"/>
      <c r="K66" s="8"/>
      <c r="L66" s="9"/>
      <c r="M66" s="8"/>
      <c r="N66" s="6" t="s">
        <v>53</v>
      </c>
      <c r="O66" s="6" t="s">
        <v>270</v>
      </c>
      <c r="P66" s="6" t="s">
        <v>55</v>
      </c>
      <c r="Q66" s="6" t="s">
        <v>56</v>
      </c>
      <c r="R66" s="6" t="s">
        <v>271</v>
      </c>
    </row>
    <row r="67" spans="1:18" ht="140.1" customHeight="1">
      <c r="A67" s="7" t="s">
        <v>272</v>
      </c>
      <c r="B67" s="7" t="s">
        <v>265</v>
      </c>
      <c r="C67" s="7" t="s">
        <v>273</v>
      </c>
      <c r="D67" s="7" t="s">
        <v>48</v>
      </c>
      <c r="E67" s="7" t="s">
        <v>49</v>
      </c>
      <c r="F67" s="7" t="s">
        <v>274</v>
      </c>
      <c r="G67" s="7" t="s">
        <v>275</v>
      </c>
      <c r="H67" s="7" t="s">
        <v>276</v>
      </c>
      <c r="I67" s="8" t="s">
        <v>4</v>
      </c>
      <c r="J67" s="8"/>
      <c r="K67" s="8"/>
      <c r="L67" s="9"/>
      <c r="M67" s="8"/>
      <c r="N67" s="7" t="s">
        <v>53</v>
      </c>
      <c r="O67" s="7" t="s">
        <v>270</v>
      </c>
      <c r="P67" s="7" t="s">
        <v>55</v>
      </c>
      <c r="Q67" s="7" t="s">
        <v>56</v>
      </c>
      <c r="R67" s="7" t="s">
        <v>271</v>
      </c>
    </row>
    <row r="68" spans="1:18" ht="140.1" customHeight="1">
      <c r="A68" s="6" t="s">
        <v>277</v>
      </c>
      <c r="B68" s="6" t="s">
        <v>265</v>
      </c>
      <c r="C68" s="6" t="s">
        <v>278</v>
      </c>
      <c r="D68" s="6" t="s">
        <v>48</v>
      </c>
      <c r="E68" s="6" t="s">
        <v>49</v>
      </c>
      <c r="F68" s="6" t="s">
        <v>279</v>
      </c>
      <c r="G68" s="6" t="s">
        <v>280</v>
      </c>
      <c r="H68" s="6" t="s">
        <v>281</v>
      </c>
      <c r="I68" s="8" t="s">
        <v>4</v>
      </c>
      <c r="J68" s="8"/>
      <c r="K68" s="8"/>
      <c r="L68" s="9"/>
      <c r="M68" s="8"/>
      <c r="N68" s="6" t="s">
        <v>53</v>
      </c>
      <c r="O68" s="6" t="s">
        <v>270</v>
      </c>
      <c r="P68" s="6" t="s">
        <v>55</v>
      </c>
      <c r="Q68" s="6" t="s">
        <v>56</v>
      </c>
      <c r="R68" s="6" t="s">
        <v>271</v>
      </c>
    </row>
  </sheetData>
  <conditionalFormatting sqref="I6:I68">
    <cfRule type="cellIs" dxfId="17" priority="1" operator="equal">
      <formula>"فشلت"</formula>
    </cfRule>
    <cfRule type="cellIs" dxfId="16" priority="2" operator="equal">
      <formula>"محجوبة"</formula>
    </cfRule>
  </conditionalFormatting>
  <dataValidations count="1">
    <dataValidation type="list" sqref="I6:I68" xr:uid="{00000000-0002-0000-0200-000000000000}">
      <formula1>"لم تنفذ,نجحت,فشلت,محجوبة,غير منطبقة"</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9"/>
  <sheetViews>
    <sheetView showGridLines="0" rightToLeft="1" zoomScale="85" workbookViewId="0">
      <pane xSplit="2" ySplit="5" topLeftCell="C6" activePane="bottomRight" state="frozen"/>
      <selection pane="topRight"/>
      <selection pane="bottomLeft"/>
      <selection pane="bottomRight" activeCell="C6" sqref="C6"/>
    </sheetView>
  </sheetViews>
  <sheetFormatPr defaultRowHeight="14.25"/>
  <cols>
    <col min="1" max="1" width="14" customWidth="1"/>
    <col min="2" max="2" width="25" customWidth="1"/>
    <col min="3" max="3" width="40" customWidth="1"/>
    <col min="4" max="4" width="13" customWidth="1"/>
    <col min="5" max="5" width="48" customWidth="1"/>
    <col min="6" max="6" width="50" customWidth="1"/>
    <col min="7" max="8" width="72" customWidth="1"/>
    <col min="9" max="9" width="17" customWidth="1"/>
    <col min="10" max="10" width="45" customWidth="1"/>
    <col min="11" max="11" width="20" customWidth="1"/>
    <col min="12" max="13" width="18" customWidth="1"/>
    <col min="14" max="14" width="52" customWidth="1"/>
    <col min="15" max="15" width="66" customWidth="1"/>
    <col min="16" max="16" width="26" customWidth="1"/>
    <col min="17" max="17" width="23" customWidth="1"/>
    <col min="18" max="18" width="56" customWidth="1"/>
  </cols>
  <sheetData>
    <row r="1" spans="1:18">
      <c r="A1" s="1"/>
      <c r="B1" s="1"/>
      <c r="C1" s="1"/>
      <c r="D1" s="1"/>
      <c r="E1" s="1"/>
      <c r="F1" s="1"/>
      <c r="G1" s="1"/>
      <c r="H1" s="1"/>
      <c r="I1" s="1"/>
      <c r="J1" s="1"/>
      <c r="K1" s="1"/>
      <c r="L1" s="1"/>
      <c r="M1" s="1"/>
      <c r="N1" s="1"/>
      <c r="O1" s="1"/>
      <c r="P1" s="1"/>
      <c r="Q1" s="1"/>
      <c r="R1" s="1"/>
    </row>
    <row r="2" spans="1:18" ht="30" customHeight="1">
      <c r="A2" s="2" t="s">
        <v>282</v>
      </c>
      <c r="B2" s="1"/>
      <c r="C2" s="1"/>
      <c r="D2" s="1"/>
      <c r="E2" s="1"/>
      <c r="F2" s="1"/>
      <c r="G2" s="1"/>
      <c r="H2" s="1"/>
      <c r="I2" s="1"/>
      <c r="J2" s="1"/>
      <c r="K2" s="1"/>
      <c r="L2" s="1"/>
      <c r="M2" s="1"/>
      <c r="N2" s="1"/>
      <c r="O2" s="1"/>
      <c r="P2" s="1"/>
      <c r="Q2" s="1"/>
      <c r="R2" s="1"/>
    </row>
    <row r="3" spans="1:18">
      <c r="A3" s="3" t="s">
        <v>26</v>
      </c>
      <c r="B3" s="1"/>
      <c r="C3" s="1"/>
      <c r="D3" s="1"/>
      <c r="E3" s="1"/>
      <c r="F3" s="1"/>
      <c r="G3" s="1"/>
      <c r="H3" s="1"/>
      <c r="I3" s="1"/>
      <c r="J3" s="1"/>
      <c r="K3" s="1"/>
      <c r="L3" s="1"/>
      <c r="M3" s="1"/>
      <c r="N3" s="1"/>
      <c r="O3" s="1"/>
      <c r="P3" s="1"/>
      <c r="Q3" s="1"/>
      <c r="R3" s="1"/>
    </row>
    <row r="4" spans="1:18">
      <c r="A4" s="1"/>
      <c r="B4" s="1"/>
      <c r="C4" s="1"/>
      <c r="D4" s="1"/>
      <c r="E4" s="1"/>
      <c r="F4" s="1"/>
      <c r="G4" s="1"/>
      <c r="H4" s="1"/>
      <c r="I4" s="1"/>
      <c r="J4" s="1"/>
      <c r="K4" s="1"/>
      <c r="L4" s="1"/>
      <c r="M4" s="1"/>
      <c r="N4" s="1"/>
      <c r="O4" s="1"/>
      <c r="P4" s="1"/>
      <c r="Q4" s="1"/>
      <c r="R4" s="1"/>
    </row>
    <row r="5" spans="1:18" ht="36" customHeight="1">
      <c r="A5" s="5" t="s">
        <v>27</v>
      </c>
      <c r="B5" s="5" t="s">
        <v>28</v>
      </c>
      <c r="C5" s="5" t="s">
        <v>29</v>
      </c>
      <c r="D5" s="5" t="s">
        <v>30</v>
      </c>
      <c r="E5" s="5" t="s">
        <v>31</v>
      </c>
      <c r="F5" s="5" t="s">
        <v>32</v>
      </c>
      <c r="G5" s="5" t="s">
        <v>33</v>
      </c>
      <c r="H5" s="5" t="s">
        <v>34</v>
      </c>
      <c r="I5" s="5" t="s">
        <v>35</v>
      </c>
      <c r="J5" s="5" t="s">
        <v>36</v>
      </c>
      <c r="K5" s="5" t="s">
        <v>37</v>
      </c>
      <c r="L5" s="5" t="s">
        <v>38</v>
      </c>
      <c r="M5" s="5" t="s">
        <v>39</v>
      </c>
      <c r="N5" s="5" t="s">
        <v>40</v>
      </c>
      <c r="O5" s="5" t="s">
        <v>41</v>
      </c>
      <c r="P5" s="5" t="s">
        <v>42</v>
      </c>
      <c r="Q5" s="5" t="s">
        <v>43</v>
      </c>
      <c r="R5" s="5" t="s">
        <v>44</v>
      </c>
    </row>
    <row r="6" spans="1:18" ht="140.1" customHeight="1">
      <c r="A6" s="6" t="s">
        <v>283</v>
      </c>
      <c r="B6" s="6" t="s">
        <v>284</v>
      </c>
      <c r="C6" s="6" t="s">
        <v>71</v>
      </c>
      <c r="D6" s="6" t="s">
        <v>48</v>
      </c>
      <c r="E6" s="6" t="s">
        <v>49</v>
      </c>
      <c r="F6" s="6" t="s">
        <v>285</v>
      </c>
      <c r="G6" s="6" t="s">
        <v>286</v>
      </c>
      <c r="H6" s="6" t="s">
        <v>74</v>
      </c>
      <c r="I6" s="8" t="s">
        <v>4</v>
      </c>
      <c r="J6" s="8"/>
      <c r="K6" s="8"/>
      <c r="L6" s="9"/>
      <c r="M6" s="8"/>
      <c r="N6" s="6" t="s">
        <v>53</v>
      </c>
      <c r="O6" s="6" t="s">
        <v>287</v>
      </c>
      <c r="P6" s="6" t="s">
        <v>55</v>
      </c>
      <c r="Q6" s="6" t="s">
        <v>56</v>
      </c>
      <c r="R6" s="6" t="s">
        <v>76</v>
      </c>
    </row>
    <row r="7" spans="1:18" ht="140.1" customHeight="1">
      <c r="A7" s="7" t="s">
        <v>288</v>
      </c>
      <c r="B7" s="7" t="s">
        <v>284</v>
      </c>
      <c r="C7" s="7" t="s">
        <v>78</v>
      </c>
      <c r="D7" s="7" t="s">
        <v>48</v>
      </c>
      <c r="E7" s="7" t="s">
        <v>49</v>
      </c>
      <c r="F7" s="7" t="s">
        <v>289</v>
      </c>
      <c r="G7" s="7" t="s">
        <v>290</v>
      </c>
      <c r="H7" s="7" t="s">
        <v>81</v>
      </c>
      <c r="I7" s="8" t="s">
        <v>4</v>
      </c>
      <c r="J7" s="8"/>
      <c r="K7" s="8"/>
      <c r="L7" s="9"/>
      <c r="M7" s="8"/>
      <c r="N7" s="7" t="s">
        <v>53</v>
      </c>
      <c r="O7" s="7" t="s">
        <v>287</v>
      </c>
      <c r="P7" s="7" t="s">
        <v>55</v>
      </c>
      <c r="Q7" s="7" t="s">
        <v>56</v>
      </c>
      <c r="R7" s="7" t="s">
        <v>76</v>
      </c>
    </row>
    <row r="8" spans="1:18" ht="140.1" customHeight="1">
      <c r="A8" s="6" t="s">
        <v>291</v>
      </c>
      <c r="B8" s="6" t="s">
        <v>284</v>
      </c>
      <c r="C8" s="6" t="s">
        <v>83</v>
      </c>
      <c r="D8" s="6" t="s">
        <v>84</v>
      </c>
      <c r="E8" s="6" t="s">
        <v>49</v>
      </c>
      <c r="F8" s="6" t="s">
        <v>292</v>
      </c>
      <c r="G8" s="6" t="s">
        <v>293</v>
      </c>
      <c r="H8" s="6" t="s">
        <v>87</v>
      </c>
      <c r="I8" s="8" t="s">
        <v>4</v>
      </c>
      <c r="J8" s="8"/>
      <c r="K8" s="8"/>
      <c r="L8" s="9"/>
      <c r="M8" s="8"/>
      <c r="N8" s="6" t="s">
        <v>53</v>
      </c>
      <c r="O8" s="6" t="s">
        <v>287</v>
      </c>
      <c r="P8" s="6" t="s">
        <v>55</v>
      </c>
      <c r="Q8" s="6" t="s">
        <v>56</v>
      </c>
      <c r="R8" s="6" t="s">
        <v>76</v>
      </c>
    </row>
    <row r="9" spans="1:18" ht="140.1" customHeight="1">
      <c r="A9" s="7" t="s">
        <v>294</v>
      </c>
      <c r="B9" s="7" t="s">
        <v>284</v>
      </c>
      <c r="C9" s="7" t="s">
        <v>89</v>
      </c>
      <c r="D9" s="7" t="s">
        <v>48</v>
      </c>
      <c r="E9" s="7" t="s">
        <v>49</v>
      </c>
      <c r="F9" s="7" t="s">
        <v>295</v>
      </c>
      <c r="G9" s="7" t="s">
        <v>296</v>
      </c>
      <c r="H9" s="7" t="s">
        <v>92</v>
      </c>
      <c r="I9" s="8" t="s">
        <v>4</v>
      </c>
      <c r="J9" s="8"/>
      <c r="K9" s="8"/>
      <c r="L9" s="9"/>
      <c r="M9" s="8"/>
      <c r="N9" s="7" t="s">
        <v>53</v>
      </c>
      <c r="O9" s="7" t="s">
        <v>287</v>
      </c>
      <c r="P9" s="7" t="s">
        <v>55</v>
      </c>
      <c r="Q9" s="7" t="s">
        <v>56</v>
      </c>
      <c r="R9" s="7" t="s">
        <v>76</v>
      </c>
    </row>
    <row r="10" spans="1:18" ht="140.1" customHeight="1">
      <c r="A10" s="6" t="s">
        <v>297</v>
      </c>
      <c r="B10" s="6" t="s">
        <v>284</v>
      </c>
      <c r="C10" s="6" t="s">
        <v>94</v>
      </c>
      <c r="D10" s="6" t="s">
        <v>84</v>
      </c>
      <c r="E10" s="6" t="s">
        <v>49</v>
      </c>
      <c r="F10" s="6" t="s">
        <v>298</v>
      </c>
      <c r="G10" s="6" t="s">
        <v>299</v>
      </c>
      <c r="H10" s="6" t="s">
        <v>97</v>
      </c>
      <c r="I10" s="8" t="s">
        <v>4</v>
      </c>
      <c r="J10" s="8"/>
      <c r="K10" s="8"/>
      <c r="L10" s="9"/>
      <c r="M10" s="8"/>
      <c r="N10" s="6" t="s">
        <v>53</v>
      </c>
      <c r="O10" s="6" t="s">
        <v>287</v>
      </c>
      <c r="P10" s="6" t="s">
        <v>55</v>
      </c>
      <c r="Q10" s="6" t="s">
        <v>56</v>
      </c>
      <c r="R10" s="6" t="s">
        <v>76</v>
      </c>
    </row>
    <row r="11" spans="1:18" ht="140.1" customHeight="1">
      <c r="A11" s="7" t="s">
        <v>300</v>
      </c>
      <c r="B11" s="7" t="s">
        <v>284</v>
      </c>
      <c r="C11" s="7" t="s">
        <v>99</v>
      </c>
      <c r="D11" s="7" t="s">
        <v>48</v>
      </c>
      <c r="E11" s="7" t="s">
        <v>49</v>
      </c>
      <c r="F11" s="7" t="s">
        <v>100</v>
      </c>
      <c r="G11" s="7" t="s">
        <v>301</v>
      </c>
      <c r="H11" s="7" t="s">
        <v>102</v>
      </c>
      <c r="I11" s="8" t="s">
        <v>4</v>
      </c>
      <c r="J11" s="8"/>
      <c r="K11" s="8"/>
      <c r="L11" s="9"/>
      <c r="M11" s="8"/>
      <c r="N11" s="7" t="s">
        <v>53</v>
      </c>
      <c r="O11" s="7" t="s">
        <v>287</v>
      </c>
      <c r="P11" s="7" t="s">
        <v>63</v>
      </c>
      <c r="Q11" s="7" t="s">
        <v>56</v>
      </c>
      <c r="R11" s="7" t="s">
        <v>76</v>
      </c>
    </row>
    <row r="12" spans="1:18" ht="140.1" customHeight="1">
      <c r="A12" s="6" t="s">
        <v>302</v>
      </c>
      <c r="B12" s="6" t="s">
        <v>303</v>
      </c>
      <c r="C12" s="6" t="s">
        <v>71</v>
      </c>
      <c r="D12" s="6" t="s">
        <v>48</v>
      </c>
      <c r="E12" s="6" t="s">
        <v>49</v>
      </c>
      <c r="F12" s="6" t="s">
        <v>304</v>
      </c>
      <c r="G12" s="6" t="s">
        <v>305</v>
      </c>
      <c r="H12" s="6" t="s">
        <v>74</v>
      </c>
      <c r="I12" s="8" t="s">
        <v>4</v>
      </c>
      <c r="J12" s="8"/>
      <c r="K12" s="8"/>
      <c r="L12" s="9"/>
      <c r="M12" s="8"/>
      <c r="N12" s="6" t="s">
        <v>53</v>
      </c>
      <c r="O12" s="6" t="s">
        <v>306</v>
      </c>
      <c r="P12" s="6" t="s">
        <v>55</v>
      </c>
      <c r="Q12" s="6" t="s">
        <v>56</v>
      </c>
      <c r="R12" s="6" t="s">
        <v>76</v>
      </c>
    </row>
    <row r="13" spans="1:18" ht="140.1" customHeight="1">
      <c r="A13" s="7" t="s">
        <v>307</v>
      </c>
      <c r="B13" s="7" t="s">
        <v>303</v>
      </c>
      <c r="C13" s="7" t="s">
        <v>78</v>
      </c>
      <c r="D13" s="7" t="s">
        <v>48</v>
      </c>
      <c r="E13" s="7" t="s">
        <v>49</v>
      </c>
      <c r="F13" s="7" t="s">
        <v>308</v>
      </c>
      <c r="G13" s="7" t="s">
        <v>309</v>
      </c>
      <c r="H13" s="7" t="s">
        <v>81</v>
      </c>
      <c r="I13" s="8" t="s">
        <v>4</v>
      </c>
      <c r="J13" s="8"/>
      <c r="K13" s="8"/>
      <c r="L13" s="9"/>
      <c r="M13" s="8"/>
      <c r="N13" s="7" t="s">
        <v>53</v>
      </c>
      <c r="O13" s="7" t="s">
        <v>306</v>
      </c>
      <c r="P13" s="7" t="s">
        <v>55</v>
      </c>
      <c r="Q13" s="7" t="s">
        <v>56</v>
      </c>
      <c r="R13" s="7" t="s">
        <v>76</v>
      </c>
    </row>
    <row r="14" spans="1:18" ht="140.1" customHeight="1">
      <c r="A14" s="6" t="s">
        <v>310</v>
      </c>
      <c r="B14" s="6" t="s">
        <v>303</v>
      </c>
      <c r="C14" s="6" t="s">
        <v>83</v>
      </c>
      <c r="D14" s="6" t="s">
        <v>84</v>
      </c>
      <c r="E14" s="6" t="s">
        <v>49</v>
      </c>
      <c r="F14" s="6" t="s">
        <v>311</v>
      </c>
      <c r="G14" s="6" t="s">
        <v>312</v>
      </c>
      <c r="H14" s="6" t="s">
        <v>87</v>
      </c>
      <c r="I14" s="8" t="s">
        <v>4</v>
      </c>
      <c r="J14" s="8"/>
      <c r="K14" s="8"/>
      <c r="L14" s="9"/>
      <c r="M14" s="8"/>
      <c r="N14" s="6" t="s">
        <v>53</v>
      </c>
      <c r="O14" s="6" t="s">
        <v>306</v>
      </c>
      <c r="P14" s="6" t="s">
        <v>55</v>
      </c>
      <c r="Q14" s="6" t="s">
        <v>56</v>
      </c>
      <c r="R14" s="6" t="s">
        <v>76</v>
      </c>
    </row>
    <row r="15" spans="1:18" ht="140.1" customHeight="1">
      <c r="A15" s="7" t="s">
        <v>313</v>
      </c>
      <c r="B15" s="7" t="s">
        <v>303</v>
      </c>
      <c r="C15" s="7" t="s">
        <v>89</v>
      </c>
      <c r="D15" s="7" t="s">
        <v>48</v>
      </c>
      <c r="E15" s="7" t="s">
        <v>49</v>
      </c>
      <c r="F15" s="7" t="s">
        <v>314</v>
      </c>
      <c r="G15" s="7" t="s">
        <v>315</v>
      </c>
      <c r="H15" s="7" t="s">
        <v>92</v>
      </c>
      <c r="I15" s="8" t="s">
        <v>4</v>
      </c>
      <c r="J15" s="8"/>
      <c r="K15" s="8"/>
      <c r="L15" s="9"/>
      <c r="M15" s="8"/>
      <c r="N15" s="7" t="s">
        <v>53</v>
      </c>
      <c r="O15" s="7" t="s">
        <v>306</v>
      </c>
      <c r="P15" s="7" t="s">
        <v>55</v>
      </c>
      <c r="Q15" s="7" t="s">
        <v>56</v>
      </c>
      <c r="R15" s="7" t="s">
        <v>76</v>
      </c>
    </row>
    <row r="16" spans="1:18" ht="140.1" customHeight="1">
      <c r="A16" s="6" t="s">
        <v>316</v>
      </c>
      <c r="B16" s="6" t="s">
        <v>303</v>
      </c>
      <c r="C16" s="6" t="s">
        <v>94</v>
      </c>
      <c r="D16" s="6" t="s">
        <v>84</v>
      </c>
      <c r="E16" s="6" t="s">
        <v>49</v>
      </c>
      <c r="F16" s="6" t="s">
        <v>317</v>
      </c>
      <c r="G16" s="6" t="s">
        <v>318</v>
      </c>
      <c r="H16" s="6" t="s">
        <v>97</v>
      </c>
      <c r="I16" s="8" t="s">
        <v>4</v>
      </c>
      <c r="J16" s="8"/>
      <c r="K16" s="8"/>
      <c r="L16" s="9"/>
      <c r="M16" s="8"/>
      <c r="N16" s="6" t="s">
        <v>53</v>
      </c>
      <c r="O16" s="6" t="s">
        <v>306</v>
      </c>
      <c r="P16" s="6" t="s">
        <v>55</v>
      </c>
      <c r="Q16" s="6" t="s">
        <v>56</v>
      </c>
      <c r="R16" s="6" t="s">
        <v>76</v>
      </c>
    </row>
    <row r="17" spans="1:18" ht="140.1" customHeight="1">
      <c r="A17" s="7" t="s">
        <v>319</v>
      </c>
      <c r="B17" s="7" t="s">
        <v>303</v>
      </c>
      <c r="C17" s="7" t="s">
        <v>99</v>
      </c>
      <c r="D17" s="7" t="s">
        <v>48</v>
      </c>
      <c r="E17" s="7" t="s">
        <v>49</v>
      </c>
      <c r="F17" s="7" t="s">
        <v>100</v>
      </c>
      <c r="G17" s="7" t="s">
        <v>320</v>
      </c>
      <c r="H17" s="7" t="s">
        <v>102</v>
      </c>
      <c r="I17" s="8" t="s">
        <v>4</v>
      </c>
      <c r="J17" s="8"/>
      <c r="K17" s="8"/>
      <c r="L17" s="9"/>
      <c r="M17" s="8"/>
      <c r="N17" s="7" t="s">
        <v>53</v>
      </c>
      <c r="O17" s="7" t="s">
        <v>306</v>
      </c>
      <c r="P17" s="7" t="s">
        <v>63</v>
      </c>
      <c r="Q17" s="7" t="s">
        <v>56</v>
      </c>
      <c r="R17" s="7" t="s">
        <v>76</v>
      </c>
    </row>
    <row r="18" spans="1:18" ht="140.1" customHeight="1">
      <c r="A18" s="6" t="s">
        <v>321</v>
      </c>
      <c r="B18" s="6" t="s">
        <v>322</v>
      </c>
      <c r="C18" s="6" t="s">
        <v>71</v>
      </c>
      <c r="D18" s="6" t="s">
        <v>48</v>
      </c>
      <c r="E18" s="6" t="s">
        <v>49</v>
      </c>
      <c r="F18" s="6" t="s">
        <v>323</v>
      </c>
      <c r="G18" s="6" t="s">
        <v>324</v>
      </c>
      <c r="H18" s="6" t="s">
        <v>74</v>
      </c>
      <c r="I18" s="8" t="s">
        <v>4</v>
      </c>
      <c r="J18" s="8"/>
      <c r="K18" s="8"/>
      <c r="L18" s="9"/>
      <c r="M18" s="8"/>
      <c r="N18" s="6" t="s">
        <v>53</v>
      </c>
      <c r="O18" s="6" t="s">
        <v>325</v>
      </c>
      <c r="P18" s="6" t="s">
        <v>55</v>
      </c>
      <c r="Q18" s="6" t="s">
        <v>56</v>
      </c>
      <c r="R18" s="6" t="s">
        <v>76</v>
      </c>
    </row>
    <row r="19" spans="1:18" ht="140.1" customHeight="1">
      <c r="A19" s="7" t="s">
        <v>326</v>
      </c>
      <c r="B19" s="7" t="s">
        <v>322</v>
      </c>
      <c r="C19" s="7" t="s">
        <v>78</v>
      </c>
      <c r="D19" s="7" t="s">
        <v>48</v>
      </c>
      <c r="E19" s="7" t="s">
        <v>49</v>
      </c>
      <c r="F19" s="7" t="s">
        <v>327</v>
      </c>
      <c r="G19" s="7" t="s">
        <v>328</v>
      </c>
      <c r="H19" s="7" t="s">
        <v>81</v>
      </c>
      <c r="I19" s="8" t="s">
        <v>4</v>
      </c>
      <c r="J19" s="8"/>
      <c r="K19" s="8"/>
      <c r="L19" s="9"/>
      <c r="M19" s="8"/>
      <c r="N19" s="7" t="s">
        <v>53</v>
      </c>
      <c r="O19" s="7" t="s">
        <v>325</v>
      </c>
      <c r="P19" s="7" t="s">
        <v>55</v>
      </c>
      <c r="Q19" s="7" t="s">
        <v>56</v>
      </c>
      <c r="R19" s="7" t="s">
        <v>76</v>
      </c>
    </row>
    <row r="20" spans="1:18" ht="140.1" customHeight="1">
      <c r="A20" s="6" t="s">
        <v>329</v>
      </c>
      <c r="B20" s="6" t="s">
        <v>322</v>
      </c>
      <c r="C20" s="6" t="s">
        <v>83</v>
      </c>
      <c r="D20" s="6" t="s">
        <v>84</v>
      </c>
      <c r="E20" s="6" t="s">
        <v>49</v>
      </c>
      <c r="F20" s="6" t="s">
        <v>330</v>
      </c>
      <c r="G20" s="6" t="s">
        <v>331</v>
      </c>
      <c r="H20" s="6" t="s">
        <v>87</v>
      </c>
      <c r="I20" s="8" t="s">
        <v>4</v>
      </c>
      <c r="J20" s="8"/>
      <c r="K20" s="8"/>
      <c r="L20" s="9"/>
      <c r="M20" s="8"/>
      <c r="N20" s="6" t="s">
        <v>53</v>
      </c>
      <c r="O20" s="6" t="s">
        <v>325</v>
      </c>
      <c r="P20" s="6" t="s">
        <v>55</v>
      </c>
      <c r="Q20" s="6" t="s">
        <v>56</v>
      </c>
      <c r="R20" s="6" t="s">
        <v>76</v>
      </c>
    </row>
    <row r="21" spans="1:18" ht="140.1" customHeight="1">
      <c r="A21" s="7" t="s">
        <v>332</v>
      </c>
      <c r="B21" s="7" t="s">
        <v>322</v>
      </c>
      <c r="C21" s="7" t="s">
        <v>89</v>
      </c>
      <c r="D21" s="7" t="s">
        <v>48</v>
      </c>
      <c r="E21" s="7" t="s">
        <v>49</v>
      </c>
      <c r="F21" s="7" t="s">
        <v>333</v>
      </c>
      <c r="G21" s="7" t="s">
        <v>334</v>
      </c>
      <c r="H21" s="7" t="s">
        <v>92</v>
      </c>
      <c r="I21" s="8" t="s">
        <v>4</v>
      </c>
      <c r="J21" s="8"/>
      <c r="K21" s="8"/>
      <c r="L21" s="9"/>
      <c r="M21" s="8"/>
      <c r="N21" s="7" t="s">
        <v>53</v>
      </c>
      <c r="O21" s="7" t="s">
        <v>325</v>
      </c>
      <c r="P21" s="7" t="s">
        <v>55</v>
      </c>
      <c r="Q21" s="7" t="s">
        <v>56</v>
      </c>
      <c r="R21" s="7" t="s">
        <v>76</v>
      </c>
    </row>
    <row r="22" spans="1:18" ht="140.1" customHeight="1">
      <c r="A22" s="6" t="s">
        <v>335</v>
      </c>
      <c r="B22" s="6" t="s">
        <v>322</v>
      </c>
      <c r="C22" s="6" t="s">
        <v>94</v>
      </c>
      <c r="D22" s="6" t="s">
        <v>84</v>
      </c>
      <c r="E22" s="6" t="s">
        <v>49</v>
      </c>
      <c r="F22" s="6" t="s">
        <v>336</v>
      </c>
      <c r="G22" s="6" t="s">
        <v>337</v>
      </c>
      <c r="H22" s="6" t="s">
        <v>97</v>
      </c>
      <c r="I22" s="8" t="s">
        <v>4</v>
      </c>
      <c r="J22" s="8"/>
      <c r="K22" s="8"/>
      <c r="L22" s="9"/>
      <c r="M22" s="8"/>
      <c r="N22" s="6" t="s">
        <v>53</v>
      </c>
      <c r="O22" s="6" t="s">
        <v>325</v>
      </c>
      <c r="P22" s="6" t="s">
        <v>55</v>
      </c>
      <c r="Q22" s="6" t="s">
        <v>56</v>
      </c>
      <c r="R22" s="6" t="s">
        <v>76</v>
      </c>
    </row>
    <row r="23" spans="1:18" ht="140.1" customHeight="1">
      <c r="A23" s="7" t="s">
        <v>338</v>
      </c>
      <c r="B23" s="7" t="s">
        <v>322</v>
      </c>
      <c r="C23" s="7" t="s">
        <v>99</v>
      </c>
      <c r="D23" s="7" t="s">
        <v>48</v>
      </c>
      <c r="E23" s="7" t="s">
        <v>49</v>
      </c>
      <c r="F23" s="7" t="s">
        <v>100</v>
      </c>
      <c r="G23" s="7" t="s">
        <v>339</v>
      </c>
      <c r="H23" s="7" t="s">
        <v>102</v>
      </c>
      <c r="I23" s="8" t="s">
        <v>4</v>
      </c>
      <c r="J23" s="8"/>
      <c r="K23" s="8"/>
      <c r="L23" s="9"/>
      <c r="M23" s="8"/>
      <c r="N23" s="7" t="s">
        <v>53</v>
      </c>
      <c r="O23" s="7" t="s">
        <v>325</v>
      </c>
      <c r="P23" s="7" t="s">
        <v>63</v>
      </c>
      <c r="Q23" s="7" t="s">
        <v>56</v>
      </c>
      <c r="R23" s="7" t="s">
        <v>76</v>
      </c>
    </row>
    <row r="24" spans="1:18" ht="140.1" customHeight="1">
      <c r="A24" s="6" t="s">
        <v>340</v>
      </c>
      <c r="B24" s="6" t="s">
        <v>341</v>
      </c>
      <c r="C24" s="6" t="s">
        <v>71</v>
      </c>
      <c r="D24" s="6" t="s">
        <v>48</v>
      </c>
      <c r="E24" s="6" t="s">
        <v>49</v>
      </c>
      <c r="F24" s="6" t="s">
        <v>138</v>
      </c>
      <c r="G24" s="6" t="s">
        <v>342</v>
      </c>
      <c r="H24" s="6" t="s">
        <v>74</v>
      </c>
      <c r="I24" s="8" t="s">
        <v>4</v>
      </c>
      <c r="J24" s="8"/>
      <c r="K24" s="8"/>
      <c r="L24" s="9"/>
      <c r="M24" s="8"/>
      <c r="N24" s="6" t="s">
        <v>53</v>
      </c>
      <c r="O24" s="6" t="s">
        <v>343</v>
      </c>
      <c r="P24" s="6" t="s">
        <v>55</v>
      </c>
      <c r="Q24" s="6" t="s">
        <v>56</v>
      </c>
      <c r="R24" s="6" t="s">
        <v>76</v>
      </c>
    </row>
    <row r="25" spans="1:18" ht="140.1" customHeight="1">
      <c r="A25" s="7" t="s">
        <v>344</v>
      </c>
      <c r="B25" s="7" t="s">
        <v>341</v>
      </c>
      <c r="C25" s="7" t="s">
        <v>78</v>
      </c>
      <c r="D25" s="7" t="s">
        <v>48</v>
      </c>
      <c r="E25" s="7" t="s">
        <v>49</v>
      </c>
      <c r="F25" s="7" t="s">
        <v>142</v>
      </c>
      <c r="G25" s="7" t="s">
        <v>345</v>
      </c>
      <c r="H25" s="7" t="s">
        <v>81</v>
      </c>
      <c r="I25" s="8" t="s">
        <v>4</v>
      </c>
      <c r="J25" s="8"/>
      <c r="K25" s="8"/>
      <c r="L25" s="9"/>
      <c r="M25" s="8"/>
      <c r="N25" s="7" t="s">
        <v>53</v>
      </c>
      <c r="O25" s="7" t="s">
        <v>343</v>
      </c>
      <c r="P25" s="7" t="s">
        <v>55</v>
      </c>
      <c r="Q25" s="7" t="s">
        <v>56</v>
      </c>
      <c r="R25" s="7" t="s">
        <v>76</v>
      </c>
    </row>
    <row r="26" spans="1:18" ht="140.1" customHeight="1">
      <c r="A26" s="6" t="s">
        <v>346</v>
      </c>
      <c r="B26" s="6" t="s">
        <v>341</v>
      </c>
      <c r="C26" s="6" t="s">
        <v>83</v>
      </c>
      <c r="D26" s="6" t="s">
        <v>84</v>
      </c>
      <c r="E26" s="6" t="s">
        <v>49</v>
      </c>
      <c r="F26" s="6" t="s">
        <v>145</v>
      </c>
      <c r="G26" s="6" t="s">
        <v>347</v>
      </c>
      <c r="H26" s="6" t="s">
        <v>87</v>
      </c>
      <c r="I26" s="8" t="s">
        <v>4</v>
      </c>
      <c r="J26" s="8"/>
      <c r="K26" s="8"/>
      <c r="L26" s="9"/>
      <c r="M26" s="8"/>
      <c r="N26" s="6" t="s">
        <v>53</v>
      </c>
      <c r="O26" s="6" t="s">
        <v>343</v>
      </c>
      <c r="P26" s="6" t="s">
        <v>55</v>
      </c>
      <c r="Q26" s="6" t="s">
        <v>56</v>
      </c>
      <c r="R26" s="6" t="s">
        <v>76</v>
      </c>
    </row>
    <row r="27" spans="1:18" ht="140.1" customHeight="1">
      <c r="A27" s="7" t="s">
        <v>348</v>
      </c>
      <c r="B27" s="7" t="s">
        <v>341</v>
      </c>
      <c r="C27" s="7" t="s">
        <v>89</v>
      </c>
      <c r="D27" s="7" t="s">
        <v>48</v>
      </c>
      <c r="E27" s="7" t="s">
        <v>49</v>
      </c>
      <c r="F27" s="7" t="s">
        <v>148</v>
      </c>
      <c r="G27" s="7" t="s">
        <v>349</v>
      </c>
      <c r="H27" s="7" t="s">
        <v>92</v>
      </c>
      <c r="I27" s="8" t="s">
        <v>4</v>
      </c>
      <c r="J27" s="8"/>
      <c r="K27" s="8"/>
      <c r="L27" s="9"/>
      <c r="M27" s="8"/>
      <c r="N27" s="7" t="s">
        <v>53</v>
      </c>
      <c r="O27" s="7" t="s">
        <v>343</v>
      </c>
      <c r="P27" s="7" t="s">
        <v>55</v>
      </c>
      <c r="Q27" s="7" t="s">
        <v>56</v>
      </c>
      <c r="R27" s="7" t="s">
        <v>76</v>
      </c>
    </row>
    <row r="28" spans="1:18" ht="140.1" customHeight="1">
      <c r="A28" s="6" t="s">
        <v>350</v>
      </c>
      <c r="B28" s="6" t="s">
        <v>341</v>
      </c>
      <c r="C28" s="6" t="s">
        <v>94</v>
      </c>
      <c r="D28" s="6" t="s">
        <v>84</v>
      </c>
      <c r="E28" s="6" t="s">
        <v>49</v>
      </c>
      <c r="F28" s="6" t="s">
        <v>151</v>
      </c>
      <c r="G28" s="6" t="s">
        <v>351</v>
      </c>
      <c r="H28" s="6" t="s">
        <v>97</v>
      </c>
      <c r="I28" s="8" t="s">
        <v>4</v>
      </c>
      <c r="J28" s="8"/>
      <c r="K28" s="8"/>
      <c r="L28" s="9"/>
      <c r="M28" s="8"/>
      <c r="N28" s="6" t="s">
        <v>53</v>
      </c>
      <c r="O28" s="6" t="s">
        <v>343</v>
      </c>
      <c r="P28" s="6" t="s">
        <v>55</v>
      </c>
      <c r="Q28" s="6" t="s">
        <v>56</v>
      </c>
      <c r="R28" s="6" t="s">
        <v>76</v>
      </c>
    </row>
    <row r="29" spans="1:18" ht="140.1" customHeight="1">
      <c r="A29" s="7" t="s">
        <v>352</v>
      </c>
      <c r="B29" s="7" t="s">
        <v>341</v>
      </c>
      <c r="C29" s="7" t="s">
        <v>99</v>
      </c>
      <c r="D29" s="7" t="s">
        <v>48</v>
      </c>
      <c r="E29" s="7" t="s">
        <v>49</v>
      </c>
      <c r="F29" s="7" t="s">
        <v>100</v>
      </c>
      <c r="G29" s="7" t="s">
        <v>353</v>
      </c>
      <c r="H29" s="7" t="s">
        <v>102</v>
      </c>
      <c r="I29" s="8" t="s">
        <v>4</v>
      </c>
      <c r="J29" s="8"/>
      <c r="K29" s="8"/>
      <c r="L29" s="9"/>
      <c r="M29" s="8"/>
      <c r="N29" s="7" t="s">
        <v>53</v>
      </c>
      <c r="O29" s="7" t="s">
        <v>343</v>
      </c>
      <c r="P29" s="7" t="s">
        <v>63</v>
      </c>
      <c r="Q29" s="7" t="s">
        <v>56</v>
      </c>
      <c r="R29" s="7" t="s">
        <v>76</v>
      </c>
    </row>
    <row r="30" spans="1:18" ht="140.1" customHeight="1">
      <c r="A30" s="6" t="s">
        <v>354</v>
      </c>
      <c r="B30" s="6" t="s">
        <v>355</v>
      </c>
      <c r="C30" s="6" t="s">
        <v>71</v>
      </c>
      <c r="D30" s="6" t="s">
        <v>48</v>
      </c>
      <c r="E30" s="6" t="s">
        <v>49</v>
      </c>
      <c r="F30" s="6" t="s">
        <v>138</v>
      </c>
      <c r="G30" s="6" t="s">
        <v>356</v>
      </c>
      <c r="H30" s="6" t="s">
        <v>74</v>
      </c>
      <c r="I30" s="8" t="s">
        <v>4</v>
      </c>
      <c r="J30" s="8"/>
      <c r="K30" s="8"/>
      <c r="L30" s="9"/>
      <c r="M30" s="8"/>
      <c r="N30" s="6" t="s">
        <v>53</v>
      </c>
      <c r="O30" s="6" t="s">
        <v>357</v>
      </c>
      <c r="P30" s="6" t="s">
        <v>55</v>
      </c>
      <c r="Q30" s="6" t="s">
        <v>56</v>
      </c>
      <c r="R30" s="6" t="s">
        <v>76</v>
      </c>
    </row>
    <row r="31" spans="1:18" ht="140.1" customHeight="1">
      <c r="A31" s="7" t="s">
        <v>358</v>
      </c>
      <c r="B31" s="7" t="s">
        <v>355</v>
      </c>
      <c r="C31" s="7" t="s">
        <v>78</v>
      </c>
      <c r="D31" s="7" t="s">
        <v>48</v>
      </c>
      <c r="E31" s="7" t="s">
        <v>49</v>
      </c>
      <c r="F31" s="7" t="s">
        <v>142</v>
      </c>
      <c r="G31" s="7" t="s">
        <v>359</v>
      </c>
      <c r="H31" s="7" t="s">
        <v>81</v>
      </c>
      <c r="I31" s="8" t="s">
        <v>4</v>
      </c>
      <c r="J31" s="8"/>
      <c r="K31" s="8"/>
      <c r="L31" s="9"/>
      <c r="M31" s="8"/>
      <c r="N31" s="7" t="s">
        <v>53</v>
      </c>
      <c r="O31" s="7" t="s">
        <v>357</v>
      </c>
      <c r="P31" s="7" t="s">
        <v>55</v>
      </c>
      <c r="Q31" s="7" t="s">
        <v>56</v>
      </c>
      <c r="R31" s="7" t="s">
        <v>76</v>
      </c>
    </row>
    <row r="32" spans="1:18" ht="140.1" customHeight="1">
      <c r="A32" s="6" t="s">
        <v>360</v>
      </c>
      <c r="B32" s="6" t="s">
        <v>355</v>
      </c>
      <c r="C32" s="6" t="s">
        <v>83</v>
      </c>
      <c r="D32" s="6" t="s">
        <v>84</v>
      </c>
      <c r="E32" s="6" t="s">
        <v>49</v>
      </c>
      <c r="F32" s="6" t="s">
        <v>145</v>
      </c>
      <c r="G32" s="6" t="s">
        <v>361</v>
      </c>
      <c r="H32" s="6" t="s">
        <v>87</v>
      </c>
      <c r="I32" s="8" t="s">
        <v>4</v>
      </c>
      <c r="J32" s="8"/>
      <c r="K32" s="8"/>
      <c r="L32" s="9"/>
      <c r="M32" s="8"/>
      <c r="N32" s="6" t="s">
        <v>53</v>
      </c>
      <c r="O32" s="6" t="s">
        <v>357</v>
      </c>
      <c r="P32" s="6" t="s">
        <v>55</v>
      </c>
      <c r="Q32" s="6" t="s">
        <v>56</v>
      </c>
      <c r="R32" s="6" t="s">
        <v>76</v>
      </c>
    </row>
    <row r="33" spans="1:18" ht="140.1" customHeight="1">
      <c r="A33" s="7" t="s">
        <v>362</v>
      </c>
      <c r="B33" s="7" t="s">
        <v>355</v>
      </c>
      <c r="C33" s="7" t="s">
        <v>89</v>
      </c>
      <c r="D33" s="7" t="s">
        <v>48</v>
      </c>
      <c r="E33" s="7" t="s">
        <v>49</v>
      </c>
      <c r="F33" s="7" t="s">
        <v>148</v>
      </c>
      <c r="G33" s="7" t="s">
        <v>363</v>
      </c>
      <c r="H33" s="7" t="s">
        <v>92</v>
      </c>
      <c r="I33" s="8" t="s">
        <v>4</v>
      </c>
      <c r="J33" s="8"/>
      <c r="K33" s="8"/>
      <c r="L33" s="9"/>
      <c r="M33" s="8"/>
      <c r="N33" s="7" t="s">
        <v>53</v>
      </c>
      <c r="O33" s="7" t="s">
        <v>357</v>
      </c>
      <c r="P33" s="7" t="s">
        <v>55</v>
      </c>
      <c r="Q33" s="7" t="s">
        <v>56</v>
      </c>
      <c r="R33" s="7" t="s">
        <v>76</v>
      </c>
    </row>
    <row r="34" spans="1:18" ht="140.1" customHeight="1">
      <c r="A34" s="6" t="s">
        <v>364</v>
      </c>
      <c r="B34" s="6" t="s">
        <v>355</v>
      </c>
      <c r="C34" s="6" t="s">
        <v>94</v>
      </c>
      <c r="D34" s="6" t="s">
        <v>84</v>
      </c>
      <c r="E34" s="6" t="s">
        <v>49</v>
      </c>
      <c r="F34" s="6" t="s">
        <v>151</v>
      </c>
      <c r="G34" s="6" t="s">
        <v>365</v>
      </c>
      <c r="H34" s="6" t="s">
        <v>97</v>
      </c>
      <c r="I34" s="8" t="s">
        <v>4</v>
      </c>
      <c r="J34" s="8"/>
      <c r="K34" s="8"/>
      <c r="L34" s="9"/>
      <c r="M34" s="8"/>
      <c r="N34" s="6" t="s">
        <v>53</v>
      </c>
      <c r="O34" s="6" t="s">
        <v>357</v>
      </c>
      <c r="P34" s="6" t="s">
        <v>55</v>
      </c>
      <c r="Q34" s="6" t="s">
        <v>56</v>
      </c>
      <c r="R34" s="6" t="s">
        <v>76</v>
      </c>
    </row>
    <row r="35" spans="1:18" ht="140.1" customHeight="1">
      <c r="A35" s="7" t="s">
        <v>366</v>
      </c>
      <c r="B35" s="7" t="s">
        <v>355</v>
      </c>
      <c r="C35" s="7" t="s">
        <v>99</v>
      </c>
      <c r="D35" s="7" t="s">
        <v>48</v>
      </c>
      <c r="E35" s="7" t="s">
        <v>49</v>
      </c>
      <c r="F35" s="7" t="s">
        <v>100</v>
      </c>
      <c r="G35" s="7" t="s">
        <v>367</v>
      </c>
      <c r="H35" s="7" t="s">
        <v>102</v>
      </c>
      <c r="I35" s="8" t="s">
        <v>4</v>
      </c>
      <c r="J35" s="8"/>
      <c r="K35" s="8"/>
      <c r="L35" s="9"/>
      <c r="M35" s="8"/>
      <c r="N35" s="7" t="s">
        <v>53</v>
      </c>
      <c r="O35" s="7" t="s">
        <v>357</v>
      </c>
      <c r="P35" s="7" t="s">
        <v>63</v>
      </c>
      <c r="Q35" s="7" t="s">
        <v>56</v>
      </c>
      <c r="R35" s="7" t="s">
        <v>76</v>
      </c>
    </row>
    <row r="36" spans="1:18" ht="140.1" customHeight="1">
      <c r="A36" s="6" t="s">
        <v>368</v>
      </c>
      <c r="B36" s="6" t="s">
        <v>369</v>
      </c>
      <c r="C36" s="6" t="s">
        <v>370</v>
      </c>
      <c r="D36" s="6" t="s">
        <v>48</v>
      </c>
      <c r="E36" s="6" t="s">
        <v>49</v>
      </c>
      <c r="F36" s="6" t="s">
        <v>371</v>
      </c>
      <c r="G36" s="6" t="s">
        <v>372</v>
      </c>
      <c r="H36" s="6" t="s">
        <v>373</v>
      </c>
      <c r="I36" s="8" t="s">
        <v>4</v>
      </c>
      <c r="J36" s="8"/>
      <c r="K36" s="8"/>
      <c r="L36" s="9"/>
      <c r="M36" s="8"/>
      <c r="N36" s="6" t="s">
        <v>53</v>
      </c>
      <c r="O36" s="6" t="s">
        <v>374</v>
      </c>
      <c r="P36" s="6" t="s">
        <v>55</v>
      </c>
      <c r="Q36" s="6" t="s">
        <v>56</v>
      </c>
      <c r="R36" s="6" t="s">
        <v>375</v>
      </c>
    </row>
    <row r="37" spans="1:18" ht="140.1" customHeight="1">
      <c r="A37" s="7" t="s">
        <v>376</v>
      </c>
      <c r="B37" s="7" t="s">
        <v>322</v>
      </c>
      <c r="C37" s="7" t="s">
        <v>377</v>
      </c>
      <c r="D37" s="7" t="s">
        <v>48</v>
      </c>
      <c r="E37" s="7" t="s">
        <v>49</v>
      </c>
      <c r="F37" s="7" t="s">
        <v>378</v>
      </c>
      <c r="G37" s="7" t="s">
        <v>379</v>
      </c>
      <c r="H37" s="7" t="s">
        <v>380</v>
      </c>
      <c r="I37" s="8" t="s">
        <v>4</v>
      </c>
      <c r="J37" s="8"/>
      <c r="K37" s="8"/>
      <c r="L37" s="9"/>
      <c r="M37" s="8"/>
      <c r="N37" s="7" t="s">
        <v>53</v>
      </c>
      <c r="O37" s="7" t="s">
        <v>325</v>
      </c>
      <c r="P37" s="7" t="s">
        <v>55</v>
      </c>
      <c r="Q37" s="7" t="s">
        <v>56</v>
      </c>
      <c r="R37" s="7" t="s">
        <v>381</v>
      </c>
    </row>
    <row r="38" spans="1:18" ht="140.1" customHeight="1">
      <c r="A38" s="6" t="s">
        <v>382</v>
      </c>
      <c r="B38" s="6" t="s">
        <v>322</v>
      </c>
      <c r="C38" s="6" t="s">
        <v>383</v>
      </c>
      <c r="D38" s="6" t="s">
        <v>48</v>
      </c>
      <c r="E38" s="6" t="s">
        <v>49</v>
      </c>
      <c r="F38" s="6" t="s">
        <v>384</v>
      </c>
      <c r="G38" s="6" t="s">
        <v>379</v>
      </c>
      <c r="H38" s="6" t="s">
        <v>385</v>
      </c>
      <c r="I38" s="8" t="s">
        <v>4</v>
      </c>
      <c r="J38" s="8"/>
      <c r="K38" s="8"/>
      <c r="L38" s="9"/>
      <c r="M38" s="8"/>
      <c r="N38" s="6" t="s">
        <v>53</v>
      </c>
      <c r="O38" s="6" t="s">
        <v>325</v>
      </c>
      <c r="P38" s="6" t="s">
        <v>55</v>
      </c>
      <c r="Q38" s="6" t="s">
        <v>56</v>
      </c>
      <c r="R38" s="6" t="s">
        <v>381</v>
      </c>
    </row>
    <row r="39" spans="1:18" ht="140.1" customHeight="1">
      <c r="A39" s="7" t="s">
        <v>386</v>
      </c>
      <c r="B39" s="7" t="s">
        <v>322</v>
      </c>
      <c r="C39" s="7" t="s">
        <v>387</v>
      </c>
      <c r="D39" s="7" t="s">
        <v>48</v>
      </c>
      <c r="E39" s="7" t="s">
        <v>49</v>
      </c>
      <c r="F39" s="7" t="s">
        <v>388</v>
      </c>
      <c r="G39" s="7" t="s">
        <v>379</v>
      </c>
      <c r="H39" s="7" t="s">
        <v>389</v>
      </c>
      <c r="I39" s="8" t="s">
        <v>4</v>
      </c>
      <c r="J39" s="8"/>
      <c r="K39" s="8"/>
      <c r="L39" s="9"/>
      <c r="M39" s="8"/>
      <c r="N39" s="7" t="s">
        <v>53</v>
      </c>
      <c r="O39" s="7" t="s">
        <v>325</v>
      </c>
      <c r="P39" s="7" t="s">
        <v>55</v>
      </c>
      <c r="Q39" s="7" t="s">
        <v>56</v>
      </c>
      <c r="R39" s="7" t="s">
        <v>381</v>
      </c>
    </row>
  </sheetData>
  <conditionalFormatting sqref="I6:I39">
    <cfRule type="cellIs" dxfId="15" priority="1" operator="equal">
      <formula>"فشلت"</formula>
    </cfRule>
    <cfRule type="cellIs" dxfId="14" priority="2" operator="equal">
      <formula>"محجوبة"</formula>
    </cfRule>
  </conditionalFormatting>
  <dataValidations count="1">
    <dataValidation type="list" sqref="I6:I39" xr:uid="{00000000-0002-0000-0300-000000000000}">
      <formula1>"لم تنفذ,نجحت,فشلت,محجوبة,غير منطبقة"</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44"/>
  <sheetViews>
    <sheetView showGridLines="0" rightToLeft="1" zoomScale="85" workbookViewId="0">
      <pane xSplit="2" ySplit="5" topLeftCell="C6" activePane="bottomRight" state="frozen"/>
      <selection pane="topRight"/>
      <selection pane="bottomLeft"/>
      <selection pane="bottomRight" activeCell="C6" sqref="C6"/>
    </sheetView>
  </sheetViews>
  <sheetFormatPr defaultRowHeight="14.25"/>
  <cols>
    <col min="1" max="1" width="14" customWidth="1"/>
    <col min="2" max="2" width="25" customWidth="1"/>
    <col min="3" max="3" width="40" customWidth="1"/>
    <col min="4" max="4" width="13" customWidth="1"/>
    <col min="5" max="5" width="48" customWidth="1"/>
    <col min="6" max="6" width="50" customWidth="1"/>
    <col min="7" max="8" width="72" customWidth="1"/>
    <col min="9" max="9" width="17" customWidth="1"/>
    <col min="10" max="10" width="45" customWidth="1"/>
    <col min="11" max="11" width="20" customWidth="1"/>
    <col min="12" max="13" width="18" customWidth="1"/>
    <col min="14" max="14" width="52" customWidth="1"/>
    <col min="15" max="15" width="66" customWidth="1"/>
    <col min="16" max="16" width="26" customWidth="1"/>
    <col min="17" max="17" width="23" customWidth="1"/>
    <col min="18" max="18" width="56" customWidth="1"/>
  </cols>
  <sheetData>
    <row r="1" spans="1:18">
      <c r="A1" s="1"/>
      <c r="B1" s="1"/>
      <c r="C1" s="1"/>
      <c r="D1" s="1"/>
      <c r="E1" s="1"/>
      <c r="F1" s="1"/>
      <c r="G1" s="1"/>
      <c r="H1" s="1"/>
      <c r="I1" s="1"/>
      <c r="J1" s="1"/>
      <c r="K1" s="1"/>
      <c r="L1" s="1"/>
      <c r="M1" s="1"/>
      <c r="N1" s="1"/>
      <c r="O1" s="1"/>
      <c r="P1" s="1"/>
      <c r="Q1" s="1"/>
      <c r="R1" s="1"/>
    </row>
    <row r="2" spans="1:18" ht="30" customHeight="1">
      <c r="A2" s="2" t="s">
        <v>390</v>
      </c>
      <c r="B2" s="1"/>
      <c r="C2" s="1"/>
      <c r="D2" s="1"/>
      <c r="E2" s="1"/>
      <c r="F2" s="1"/>
      <c r="G2" s="1"/>
      <c r="H2" s="1"/>
      <c r="I2" s="1"/>
      <c r="J2" s="1"/>
      <c r="K2" s="1"/>
      <c r="L2" s="1"/>
      <c r="M2" s="1"/>
      <c r="N2" s="1"/>
      <c r="O2" s="1"/>
      <c r="P2" s="1"/>
      <c r="Q2" s="1"/>
      <c r="R2" s="1"/>
    </row>
    <row r="3" spans="1:18">
      <c r="A3" s="3" t="s">
        <v>26</v>
      </c>
      <c r="B3" s="1"/>
      <c r="C3" s="1"/>
      <c r="D3" s="1"/>
      <c r="E3" s="1"/>
      <c r="F3" s="1"/>
      <c r="G3" s="1"/>
      <c r="H3" s="1"/>
      <c r="I3" s="1"/>
      <c r="J3" s="1"/>
      <c r="K3" s="1"/>
      <c r="L3" s="1"/>
      <c r="M3" s="1"/>
      <c r="N3" s="1"/>
      <c r="O3" s="1"/>
      <c r="P3" s="1"/>
      <c r="Q3" s="1"/>
      <c r="R3" s="1"/>
    </row>
    <row r="4" spans="1:18">
      <c r="A4" s="1"/>
      <c r="B4" s="1"/>
      <c r="C4" s="1"/>
      <c r="D4" s="1"/>
      <c r="E4" s="1"/>
      <c r="F4" s="1"/>
      <c r="G4" s="1"/>
      <c r="H4" s="1"/>
      <c r="I4" s="1"/>
      <c r="J4" s="1"/>
      <c r="K4" s="1"/>
      <c r="L4" s="1"/>
      <c r="M4" s="1"/>
      <c r="N4" s="1"/>
      <c r="O4" s="1"/>
      <c r="P4" s="1"/>
      <c r="Q4" s="1"/>
      <c r="R4" s="1"/>
    </row>
    <row r="5" spans="1:18" ht="36" customHeight="1">
      <c r="A5" s="5" t="s">
        <v>27</v>
      </c>
      <c r="B5" s="5" t="s">
        <v>28</v>
      </c>
      <c r="C5" s="5" t="s">
        <v>29</v>
      </c>
      <c r="D5" s="5" t="s">
        <v>30</v>
      </c>
      <c r="E5" s="5" t="s">
        <v>31</v>
      </c>
      <c r="F5" s="5" t="s">
        <v>32</v>
      </c>
      <c r="G5" s="5" t="s">
        <v>33</v>
      </c>
      <c r="H5" s="5" t="s">
        <v>34</v>
      </c>
      <c r="I5" s="5" t="s">
        <v>35</v>
      </c>
      <c r="J5" s="5" t="s">
        <v>36</v>
      </c>
      <c r="K5" s="5" t="s">
        <v>37</v>
      </c>
      <c r="L5" s="5" t="s">
        <v>38</v>
      </c>
      <c r="M5" s="5" t="s">
        <v>39</v>
      </c>
      <c r="N5" s="5" t="s">
        <v>40</v>
      </c>
      <c r="O5" s="5" t="s">
        <v>41</v>
      </c>
      <c r="P5" s="5" t="s">
        <v>42</v>
      </c>
      <c r="Q5" s="5" t="s">
        <v>43</v>
      </c>
      <c r="R5" s="5" t="s">
        <v>44</v>
      </c>
    </row>
    <row r="6" spans="1:18" ht="140.1" customHeight="1">
      <c r="A6" s="6" t="s">
        <v>391</v>
      </c>
      <c r="B6" s="6" t="s">
        <v>392</v>
      </c>
      <c r="C6" s="6" t="s">
        <v>71</v>
      </c>
      <c r="D6" s="6" t="s">
        <v>48</v>
      </c>
      <c r="E6" s="6" t="s">
        <v>49</v>
      </c>
      <c r="F6" s="6" t="s">
        <v>138</v>
      </c>
      <c r="G6" s="6" t="s">
        <v>393</v>
      </c>
      <c r="H6" s="6" t="s">
        <v>74</v>
      </c>
      <c r="I6" s="8" t="s">
        <v>4</v>
      </c>
      <c r="J6" s="8"/>
      <c r="K6" s="8"/>
      <c r="L6" s="9"/>
      <c r="M6" s="8"/>
      <c r="N6" s="6" t="s">
        <v>53</v>
      </c>
      <c r="O6" s="6" t="s">
        <v>394</v>
      </c>
      <c r="P6" s="6" t="s">
        <v>55</v>
      </c>
      <c r="Q6" s="6" t="s">
        <v>56</v>
      </c>
      <c r="R6" s="6" t="s">
        <v>76</v>
      </c>
    </row>
    <row r="7" spans="1:18" ht="140.1" customHeight="1">
      <c r="A7" s="7" t="s">
        <v>395</v>
      </c>
      <c r="B7" s="7" t="s">
        <v>392</v>
      </c>
      <c r="C7" s="7" t="s">
        <v>78</v>
      </c>
      <c r="D7" s="7" t="s">
        <v>48</v>
      </c>
      <c r="E7" s="7" t="s">
        <v>49</v>
      </c>
      <c r="F7" s="7" t="s">
        <v>142</v>
      </c>
      <c r="G7" s="7" t="s">
        <v>396</v>
      </c>
      <c r="H7" s="7" t="s">
        <v>81</v>
      </c>
      <c r="I7" s="8" t="s">
        <v>4</v>
      </c>
      <c r="J7" s="8"/>
      <c r="K7" s="8"/>
      <c r="L7" s="9"/>
      <c r="M7" s="8"/>
      <c r="N7" s="7" t="s">
        <v>53</v>
      </c>
      <c r="O7" s="7" t="s">
        <v>394</v>
      </c>
      <c r="P7" s="7" t="s">
        <v>55</v>
      </c>
      <c r="Q7" s="7" t="s">
        <v>56</v>
      </c>
      <c r="R7" s="7" t="s">
        <v>76</v>
      </c>
    </row>
    <row r="8" spans="1:18" ht="140.1" customHeight="1">
      <c r="A8" s="6" t="s">
        <v>397</v>
      </c>
      <c r="B8" s="6" t="s">
        <v>392</v>
      </c>
      <c r="C8" s="6" t="s">
        <v>83</v>
      </c>
      <c r="D8" s="6" t="s">
        <v>84</v>
      </c>
      <c r="E8" s="6" t="s">
        <v>49</v>
      </c>
      <c r="F8" s="6" t="s">
        <v>145</v>
      </c>
      <c r="G8" s="6" t="s">
        <v>398</v>
      </c>
      <c r="H8" s="6" t="s">
        <v>87</v>
      </c>
      <c r="I8" s="8" t="s">
        <v>4</v>
      </c>
      <c r="J8" s="8"/>
      <c r="K8" s="8"/>
      <c r="L8" s="9"/>
      <c r="M8" s="8"/>
      <c r="N8" s="6" t="s">
        <v>53</v>
      </c>
      <c r="O8" s="6" t="s">
        <v>394</v>
      </c>
      <c r="P8" s="6" t="s">
        <v>55</v>
      </c>
      <c r="Q8" s="6" t="s">
        <v>56</v>
      </c>
      <c r="R8" s="6" t="s">
        <v>76</v>
      </c>
    </row>
    <row r="9" spans="1:18" ht="140.1" customHeight="1">
      <c r="A9" s="7" t="s">
        <v>399</v>
      </c>
      <c r="B9" s="7" t="s">
        <v>392</v>
      </c>
      <c r="C9" s="7" t="s">
        <v>89</v>
      </c>
      <c r="D9" s="7" t="s">
        <v>48</v>
      </c>
      <c r="E9" s="7" t="s">
        <v>49</v>
      </c>
      <c r="F9" s="7" t="s">
        <v>148</v>
      </c>
      <c r="G9" s="7" t="s">
        <v>400</v>
      </c>
      <c r="H9" s="7" t="s">
        <v>92</v>
      </c>
      <c r="I9" s="8" t="s">
        <v>4</v>
      </c>
      <c r="J9" s="8"/>
      <c r="K9" s="8"/>
      <c r="L9" s="9"/>
      <c r="M9" s="8"/>
      <c r="N9" s="7" t="s">
        <v>53</v>
      </c>
      <c r="O9" s="7" t="s">
        <v>394</v>
      </c>
      <c r="P9" s="7" t="s">
        <v>55</v>
      </c>
      <c r="Q9" s="7" t="s">
        <v>56</v>
      </c>
      <c r="R9" s="7" t="s">
        <v>76</v>
      </c>
    </row>
    <row r="10" spans="1:18" ht="140.1" customHeight="1">
      <c r="A10" s="6" t="s">
        <v>401</v>
      </c>
      <c r="B10" s="6" t="s">
        <v>392</v>
      </c>
      <c r="C10" s="6" t="s">
        <v>94</v>
      </c>
      <c r="D10" s="6" t="s">
        <v>84</v>
      </c>
      <c r="E10" s="6" t="s">
        <v>49</v>
      </c>
      <c r="F10" s="6" t="s">
        <v>151</v>
      </c>
      <c r="G10" s="6" t="s">
        <v>402</v>
      </c>
      <c r="H10" s="6" t="s">
        <v>97</v>
      </c>
      <c r="I10" s="8" t="s">
        <v>4</v>
      </c>
      <c r="J10" s="8"/>
      <c r="K10" s="8"/>
      <c r="L10" s="9"/>
      <c r="M10" s="8"/>
      <c r="N10" s="6" t="s">
        <v>53</v>
      </c>
      <c r="O10" s="6" t="s">
        <v>394</v>
      </c>
      <c r="P10" s="6" t="s">
        <v>55</v>
      </c>
      <c r="Q10" s="6" t="s">
        <v>56</v>
      </c>
      <c r="R10" s="6" t="s">
        <v>76</v>
      </c>
    </row>
    <row r="11" spans="1:18" ht="140.1" customHeight="1">
      <c r="A11" s="7" t="s">
        <v>403</v>
      </c>
      <c r="B11" s="7" t="s">
        <v>392</v>
      </c>
      <c r="C11" s="7" t="s">
        <v>99</v>
      </c>
      <c r="D11" s="7" t="s">
        <v>48</v>
      </c>
      <c r="E11" s="7" t="s">
        <v>49</v>
      </c>
      <c r="F11" s="7" t="s">
        <v>100</v>
      </c>
      <c r="G11" s="7" t="s">
        <v>404</v>
      </c>
      <c r="H11" s="7" t="s">
        <v>102</v>
      </c>
      <c r="I11" s="8" t="s">
        <v>4</v>
      </c>
      <c r="J11" s="8"/>
      <c r="K11" s="8"/>
      <c r="L11" s="9"/>
      <c r="M11" s="8"/>
      <c r="N11" s="7" t="s">
        <v>53</v>
      </c>
      <c r="O11" s="7" t="s">
        <v>394</v>
      </c>
      <c r="P11" s="7" t="s">
        <v>63</v>
      </c>
      <c r="Q11" s="7" t="s">
        <v>56</v>
      </c>
      <c r="R11" s="7" t="s">
        <v>76</v>
      </c>
    </row>
    <row r="12" spans="1:18" ht="140.1" customHeight="1">
      <c r="A12" s="6" t="s">
        <v>405</v>
      </c>
      <c r="B12" s="6" t="s">
        <v>406</v>
      </c>
      <c r="C12" s="6" t="s">
        <v>71</v>
      </c>
      <c r="D12" s="6" t="s">
        <v>48</v>
      </c>
      <c r="E12" s="6" t="s">
        <v>49</v>
      </c>
      <c r="F12" s="6" t="s">
        <v>407</v>
      </c>
      <c r="G12" s="6" t="s">
        <v>408</v>
      </c>
      <c r="H12" s="6" t="s">
        <v>74</v>
      </c>
      <c r="I12" s="8" t="s">
        <v>4</v>
      </c>
      <c r="J12" s="8"/>
      <c r="K12" s="8"/>
      <c r="L12" s="9"/>
      <c r="M12" s="8"/>
      <c r="N12" s="6" t="s">
        <v>53</v>
      </c>
      <c r="O12" s="6" t="s">
        <v>409</v>
      </c>
      <c r="P12" s="6" t="s">
        <v>55</v>
      </c>
      <c r="Q12" s="6" t="s">
        <v>56</v>
      </c>
      <c r="R12" s="6" t="s">
        <v>76</v>
      </c>
    </row>
    <row r="13" spans="1:18" ht="140.1" customHeight="1">
      <c r="A13" s="7" t="s">
        <v>410</v>
      </c>
      <c r="B13" s="7" t="s">
        <v>406</v>
      </c>
      <c r="C13" s="7" t="s">
        <v>78</v>
      </c>
      <c r="D13" s="7" t="s">
        <v>48</v>
      </c>
      <c r="E13" s="7" t="s">
        <v>49</v>
      </c>
      <c r="F13" s="7" t="s">
        <v>411</v>
      </c>
      <c r="G13" s="7" t="s">
        <v>412</v>
      </c>
      <c r="H13" s="7" t="s">
        <v>81</v>
      </c>
      <c r="I13" s="8" t="s">
        <v>4</v>
      </c>
      <c r="J13" s="8"/>
      <c r="K13" s="8"/>
      <c r="L13" s="9"/>
      <c r="M13" s="8"/>
      <c r="N13" s="7" t="s">
        <v>53</v>
      </c>
      <c r="O13" s="7" t="s">
        <v>409</v>
      </c>
      <c r="P13" s="7" t="s">
        <v>55</v>
      </c>
      <c r="Q13" s="7" t="s">
        <v>56</v>
      </c>
      <c r="R13" s="7" t="s">
        <v>76</v>
      </c>
    </row>
    <row r="14" spans="1:18" ht="140.1" customHeight="1">
      <c r="A14" s="6" t="s">
        <v>413</v>
      </c>
      <c r="B14" s="6" t="s">
        <v>406</v>
      </c>
      <c r="C14" s="6" t="s">
        <v>83</v>
      </c>
      <c r="D14" s="6" t="s">
        <v>84</v>
      </c>
      <c r="E14" s="6" t="s">
        <v>49</v>
      </c>
      <c r="F14" s="6" t="s">
        <v>414</v>
      </c>
      <c r="G14" s="6" t="s">
        <v>415</v>
      </c>
      <c r="H14" s="6" t="s">
        <v>87</v>
      </c>
      <c r="I14" s="8" t="s">
        <v>4</v>
      </c>
      <c r="J14" s="8"/>
      <c r="K14" s="8"/>
      <c r="L14" s="9"/>
      <c r="M14" s="8"/>
      <c r="N14" s="6" t="s">
        <v>53</v>
      </c>
      <c r="O14" s="6" t="s">
        <v>409</v>
      </c>
      <c r="P14" s="6" t="s">
        <v>55</v>
      </c>
      <c r="Q14" s="6" t="s">
        <v>56</v>
      </c>
      <c r="R14" s="6" t="s">
        <v>76</v>
      </c>
    </row>
    <row r="15" spans="1:18" ht="140.1" customHeight="1">
      <c r="A15" s="7" t="s">
        <v>416</v>
      </c>
      <c r="B15" s="7" t="s">
        <v>406</v>
      </c>
      <c r="C15" s="7" t="s">
        <v>89</v>
      </c>
      <c r="D15" s="7" t="s">
        <v>48</v>
      </c>
      <c r="E15" s="7" t="s">
        <v>49</v>
      </c>
      <c r="F15" s="7" t="s">
        <v>417</v>
      </c>
      <c r="G15" s="7" t="s">
        <v>418</v>
      </c>
      <c r="H15" s="7" t="s">
        <v>92</v>
      </c>
      <c r="I15" s="8" t="s">
        <v>4</v>
      </c>
      <c r="J15" s="8"/>
      <c r="K15" s="8"/>
      <c r="L15" s="9"/>
      <c r="M15" s="8"/>
      <c r="N15" s="7" t="s">
        <v>53</v>
      </c>
      <c r="O15" s="7" t="s">
        <v>409</v>
      </c>
      <c r="P15" s="7" t="s">
        <v>55</v>
      </c>
      <c r="Q15" s="7" t="s">
        <v>56</v>
      </c>
      <c r="R15" s="7" t="s">
        <v>76</v>
      </c>
    </row>
    <row r="16" spans="1:18" ht="140.1" customHeight="1">
      <c r="A16" s="6" t="s">
        <v>419</v>
      </c>
      <c r="B16" s="6" t="s">
        <v>406</v>
      </c>
      <c r="C16" s="6" t="s">
        <v>94</v>
      </c>
      <c r="D16" s="6" t="s">
        <v>84</v>
      </c>
      <c r="E16" s="6" t="s">
        <v>49</v>
      </c>
      <c r="F16" s="6" t="s">
        <v>420</v>
      </c>
      <c r="G16" s="6" t="s">
        <v>421</v>
      </c>
      <c r="H16" s="6" t="s">
        <v>97</v>
      </c>
      <c r="I16" s="8" t="s">
        <v>4</v>
      </c>
      <c r="J16" s="8"/>
      <c r="K16" s="8"/>
      <c r="L16" s="9"/>
      <c r="M16" s="8"/>
      <c r="N16" s="6" t="s">
        <v>53</v>
      </c>
      <c r="O16" s="6" t="s">
        <v>409</v>
      </c>
      <c r="P16" s="6" t="s">
        <v>55</v>
      </c>
      <c r="Q16" s="6" t="s">
        <v>56</v>
      </c>
      <c r="R16" s="6" t="s">
        <v>76</v>
      </c>
    </row>
    <row r="17" spans="1:18" ht="140.1" customHeight="1">
      <c r="A17" s="7" t="s">
        <v>422</v>
      </c>
      <c r="B17" s="7" t="s">
        <v>406</v>
      </c>
      <c r="C17" s="7" t="s">
        <v>99</v>
      </c>
      <c r="D17" s="7" t="s">
        <v>48</v>
      </c>
      <c r="E17" s="7" t="s">
        <v>49</v>
      </c>
      <c r="F17" s="7" t="s">
        <v>100</v>
      </c>
      <c r="G17" s="7" t="s">
        <v>423</v>
      </c>
      <c r="H17" s="7" t="s">
        <v>102</v>
      </c>
      <c r="I17" s="8" t="s">
        <v>4</v>
      </c>
      <c r="J17" s="8"/>
      <c r="K17" s="8"/>
      <c r="L17" s="9"/>
      <c r="M17" s="8"/>
      <c r="N17" s="7" t="s">
        <v>53</v>
      </c>
      <c r="O17" s="7" t="s">
        <v>409</v>
      </c>
      <c r="P17" s="7" t="s">
        <v>63</v>
      </c>
      <c r="Q17" s="7" t="s">
        <v>56</v>
      </c>
      <c r="R17" s="7" t="s">
        <v>76</v>
      </c>
    </row>
    <row r="18" spans="1:18" ht="140.1" customHeight="1">
      <c r="A18" s="6" t="s">
        <v>424</v>
      </c>
      <c r="B18" s="6" t="s">
        <v>425</v>
      </c>
      <c r="C18" s="6" t="s">
        <v>426</v>
      </c>
      <c r="D18" s="6" t="s">
        <v>48</v>
      </c>
      <c r="E18" s="6" t="s">
        <v>49</v>
      </c>
      <c r="F18" s="6" t="s">
        <v>427</v>
      </c>
      <c r="G18" s="6" t="s">
        <v>428</v>
      </c>
      <c r="H18" s="6" t="s">
        <v>429</v>
      </c>
      <c r="I18" s="8" t="s">
        <v>4</v>
      </c>
      <c r="J18" s="8"/>
      <c r="K18" s="8"/>
      <c r="L18" s="9"/>
      <c r="M18" s="8"/>
      <c r="N18" s="6" t="s">
        <v>53</v>
      </c>
      <c r="O18" s="6" t="s">
        <v>430</v>
      </c>
      <c r="P18" s="6" t="s">
        <v>55</v>
      </c>
      <c r="Q18" s="6" t="s">
        <v>56</v>
      </c>
      <c r="R18" s="6"/>
    </row>
    <row r="19" spans="1:18" ht="140.1" customHeight="1">
      <c r="A19" s="7" t="s">
        <v>431</v>
      </c>
      <c r="B19" s="7" t="s">
        <v>425</v>
      </c>
      <c r="C19" s="7" t="s">
        <v>432</v>
      </c>
      <c r="D19" s="7" t="s">
        <v>48</v>
      </c>
      <c r="E19" s="7" t="s">
        <v>49</v>
      </c>
      <c r="F19" s="7" t="s">
        <v>433</v>
      </c>
      <c r="G19" s="7" t="s">
        <v>434</v>
      </c>
      <c r="H19" s="7" t="s">
        <v>435</v>
      </c>
      <c r="I19" s="8" t="s">
        <v>4</v>
      </c>
      <c r="J19" s="8"/>
      <c r="K19" s="8"/>
      <c r="L19" s="9"/>
      <c r="M19" s="8"/>
      <c r="N19" s="7" t="s">
        <v>53</v>
      </c>
      <c r="O19" s="7" t="s">
        <v>430</v>
      </c>
      <c r="P19" s="7" t="s">
        <v>55</v>
      </c>
      <c r="Q19" s="7" t="s">
        <v>56</v>
      </c>
      <c r="R19" s="7"/>
    </row>
    <row r="20" spans="1:18" ht="140.1" customHeight="1">
      <c r="A20" s="6" t="s">
        <v>436</v>
      </c>
      <c r="B20" s="6" t="s">
        <v>425</v>
      </c>
      <c r="C20" s="6" t="s">
        <v>437</v>
      </c>
      <c r="D20" s="6" t="s">
        <v>48</v>
      </c>
      <c r="E20" s="6" t="s">
        <v>49</v>
      </c>
      <c r="F20" s="6" t="s">
        <v>438</v>
      </c>
      <c r="G20" s="6" t="s">
        <v>439</v>
      </c>
      <c r="H20" s="6" t="s">
        <v>435</v>
      </c>
      <c r="I20" s="8" t="s">
        <v>4</v>
      </c>
      <c r="J20" s="8"/>
      <c r="K20" s="8"/>
      <c r="L20" s="9"/>
      <c r="M20" s="8"/>
      <c r="N20" s="6" t="s">
        <v>53</v>
      </c>
      <c r="O20" s="6" t="s">
        <v>430</v>
      </c>
      <c r="P20" s="6" t="s">
        <v>55</v>
      </c>
      <c r="Q20" s="6" t="s">
        <v>56</v>
      </c>
      <c r="R20" s="6"/>
    </row>
    <row r="21" spans="1:18" ht="140.1" customHeight="1">
      <c r="A21" s="7" t="s">
        <v>440</v>
      </c>
      <c r="B21" s="7" t="s">
        <v>425</v>
      </c>
      <c r="C21" s="7" t="s">
        <v>441</v>
      </c>
      <c r="D21" s="7" t="s">
        <v>48</v>
      </c>
      <c r="E21" s="7" t="s">
        <v>49</v>
      </c>
      <c r="F21" s="7" t="s">
        <v>442</v>
      </c>
      <c r="G21" s="7" t="s">
        <v>443</v>
      </c>
      <c r="H21" s="7" t="s">
        <v>435</v>
      </c>
      <c r="I21" s="8" t="s">
        <v>4</v>
      </c>
      <c r="J21" s="8"/>
      <c r="K21" s="8"/>
      <c r="L21" s="9"/>
      <c r="M21" s="8"/>
      <c r="N21" s="7" t="s">
        <v>53</v>
      </c>
      <c r="O21" s="7" t="s">
        <v>430</v>
      </c>
      <c r="P21" s="7" t="s">
        <v>55</v>
      </c>
      <c r="Q21" s="7" t="s">
        <v>56</v>
      </c>
      <c r="R21" s="7"/>
    </row>
    <row r="22" spans="1:18" ht="140.1" customHeight="1">
      <c r="A22" s="6" t="s">
        <v>444</v>
      </c>
      <c r="B22" s="6" t="s">
        <v>425</v>
      </c>
      <c r="C22" s="6" t="s">
        <v>445</v>
      </c>
      <c r="D22" s="6" t="s">
        <v>48</v>
      </c>
      <c r="E22" s="6" t="s">
        <v>49</v>
      </c>
      <c r="F22" s="6" t="s">
        <v>446</v>
      </c>
      <c r="G22" s="6" t="s">
        <v>447</v>
      </c>
      <c r="H22" s="6" t="s">
        <v>435</v>
      </c>
      <c r="I22" s="8" t="s">
        <v>4</v>
      </c>
      <c r="J22" s="8"/>
      <c r="K22" s="8"/>
      <c r="L22" s="9"/>
      <c r="M22" s="8"/>
      <c r="N22" s="6" t="s">
        <v>53</v>
      </c>
      <c r="O22" s="6" t="s">
        <v>430</v>
      </c>
      <c r="P22" s="6" t="s">
        <v>55</v>
      </c>
      <c r="Q22" s="6" t="s">
        <v>56</v>
      </c>
      <c r="R22" s="6"/>
    </row>
    <row r="23" spans="1:18" ht="140.1" customHeight="1">
      <c r="A23" s="7" t="s">
        <v>448</v>
      </c>
      <c r="B23" s="7" t="s">
        <v>425</v>
      </c>
      <c r="C23" s="7" t="s">
        <v>449</v>
      </c>
      <c r="D23" s="7" t="s">
        <v>48</v>
      </c>
      <c r="E23" s="7" t="s">
        <v>49</v>
      </c>
      <c r="F23" s="7" t="s">
        <v>450</v>
      </c>
      <c r="G23" s="7" t="s">
        <v>451</v>
      </c>
      <c r="H23" s="7" t="s">
        <v>452</v>
      </c>
      <c r="I23" s="8" t="s">
        <v>4</v>
      </c>
      <c r="J23" s="8"/>
      <c r="K23" s="8"/>
      <c r="L23" s="9"/>
      <c r="M23" s="8"/>
      <c r="N23" s="7" t="s">
        <v>53</v>
      </c>
      <c r="O23" s="7" t="s">
        <v>430</v>
      </c>
      <c r="P23" s="7" t="s">
        <v>55</v>
      </c>
      <c r="Q23" s="7" t="s">
        <v>56</v>
      </c>
      <c r="R23" s="7"/>
    </row>
    <row r="24" spans="1:18" ht="140.1" customHeight="1">
      <c r="A24" s="6" t="s">
        <v>453</v>
      </c>
      <c r="B24" s="6" t="s">
        <v>425</v>
      </c>
      <c r="C24" s="6" t="s">
        <v>454</v>
      </c>
      <c r="D24" s="6" t="s">
        <v>48</v>
      </c>
      <c r="E24" s="6" t="s">
        <v>49</v>
      </c>
      <c r="F24" s="6" t="s">
        <v>455</v>
      </c>
      <c r="G24" s="6" t="s">
        <v>451</v>
      </c>
      <c r="H24" s="6" t="s">
        <v>456</v>
      </c>
      <c r="I24" s="8" t="s">
        <v>4</v>
      </c>
      <c r="J24" s="8"/>
      <c r="K24" s="8"/>
      <c r="L24" s="9"/>
      <c r="M24" s="8"/>
      <c r="N24" s="6" t="s">
        <v>53</v>
      </c>
      <c r="O24" s="6" t="s">
        <v>430</v>
      </c>
      <c r="P24" s="6" t="s">
        <v>55</v>
      </c>
      <c r="Q24" s="6" t="s">
        <v>56</v>
      </c>
      <c r="R24" s="6"/>
    </row>
    <row r="25" spans="1:18" ht="140.1" customHeight="1">
      <c r="A25" s="7" t="s">
        <v>457</v>
      </c>
      <c r="B25" s="7" t="s">
        <v>425</v>
      </c>
      <c r="C25" s="7" t="s">
        <v>458</v>
      </c>
      <c r="D25" s="7" t="s">
        <v>48</v>
      </c>
      <c r="E25" s="7" t="s">
        <v>49</v>
      </c>
      <c r="F25" s="7" t="s">
        <v>459</v>
      </c>
      <c r="G25" s="7" t="s">
        <v>451</v>
      </c>
      <c r="H25" s="7" t="s">
        <v>456</v>
      </c>
      <c r="I25" s="8" t="s">
        <v>4</v>
      </c>
      <c r="J25" s="8"/>
      <c r="K25" s="8"/>
      <c r="L25" s="9"/>
      <c r="M25" s="8"/>
      <c r="N25" s="7" t="s">
        <v>53</v>
      </c>
      <c r="O25" s="7" t="s">
        <v>430</v>
      </c>
      <c r="P25" s="7" t="s">
        <v>55</v>
      </c>
      <c r="Q25" s="7" t="s">
        <v>56</v>
      </c>
      <c r="R25" s="7"/>
    </row>
    <row r="26" spans="1:18" ht="140.1" customHeight="1">
      <c r="A26" s="6" t="s">
        <v>460</v>
      </c>
      <c r="B26" s="6" t="s">
        <v>425</v>
      </c>
      <c r="C26" s="6" t="s">
        <v>461</v>
      </c>
      <c r="D26" s="6" t="s">
        <v>48</v>
      </c>
      <c r="E26" s="6" t="s">
        <v>49</v>
      </c>
      <c r="F26" s="6" t="s">
        <v>462</v>
      </c>
      <c r="G26" s="6" t="s">
        <v>451</v>
      </c>
      <c r="H26" s="6" t="s">
        <v>463</v>
      </c>
      <c r="I26" s="8" t="s">
        <v>4</v>
      </c>
      <c r="J26" s="8"/>
      <c r="K26" s="8"/>
      <c r="L26" s="9"/>
      <c r="M26" s="8"/>
      <c r="N26" s="6" t="s">
        <v>53</v>
      </c>
      <c r="O26" s="6" t="s">
        <v>430</v>
      </c>
      <c r="P26" s="6" t="s">
        <v>55</v>
      </c>
      <c r="Q26" s="6" t="s">
        <v>56</v>
      </c>
      <c r="R26" s="6"/>
    </row>
    <row r="27" spans="1:18" ht="140.1" customHeight="1">
      <c r="A27" s="7" t="s">
        <v>464</v>
      </c>
      <c r="B27" s="7" t="s">
        <v>425</v>
      </c>
      <c r="C27" s="7" t="s">
        <v>465</v>
      </c>
      <c r="D27" s="7" t="s">
        <v>48</v>
      </c>
      <c r="E27" s="7" t="s">
        <v>49</v>
      </c>
      <c r="F27" s="7" t="s">
        <v>466</v>
      </c>
      <c r="G27" s="7" t="s">
        <v>451</v>
      </c>
      <c r="H27" s="7" t="s">
        <v>467</v>
      </c>
      <c r="I27" s="8" t="s">
        <v>4</v>
      </c>
      <c r="J27" s="8"/>
      <c r="K27" s="8"/>
      <c r="L27" s="9"/>
      <c r="M27" s="8"/>
      <c r="N27" s="7" t="s">
        <v>53</v>
      </c>
      <c r="O27" s="7" t="s">
        <v>430</v>
      </c>
      <c r="P27" s="7" t="s">
        <v>55</v>
      </c>
      <c r="Q27" s="7" t="s">
        <v>56</v>
      </c>
      <c r="R27" s="7"/>
    </row>
    <row r="28" spans="1:18" ht="140.1" customHeight="1">
      <c r="A28" s="6" t="s">
        <v>468</v>
      </c>
      <c r="B28" s="6" t="s">
        <v>425</v>
      </c>
      <c r="C28" s="6" t="s">
        <v>469</v>
      </c>
      <c r="D28" s="6" t="s">
        <v>48</v>
      </c>
      <c r="E28" s="6" t="s">
        <v>49</v>
      </c>
      <c r="F28" s="6" t="s">
        <v>470</v>
      </c>
      <c r="G28" s="6" t="s">
        <v>451</v>
      </c>
      <c r="H28" s="6" t="s">
        <v>471</v>
      </c>
      <c r="I28" s="8" t="s">
        <v>4</v>
      </c>
      <c r="J28" s="8"/>
      <c r="K28" s="8"/>
      <c r="L28" s="9"/>
      <c r="M28" s="8"/>
      <c r="N28" s="6" t="s">
        <v>53</v>
      </c>
      <c r="O28" s="6" t="s">
        <v>430</v>
      </c>
      <c r="P28" s="6" t="s">
        <v>55</v>
      </c>
      <c r="Q28" s="6" t="s">
        <v>56</v>
      </c>
      <c r="R28" s="6"/>
    </row>
    <row r="29" spans="1:18" ht="140.1" customHeight="1">
      <c r="A29" s="7" t="s">
        <v>472</v>
      </c>
      <c r="B29" s="7" t="s">
        <v>473</v>
      </c>
      <c r="C29" s="7" t="s">
        <v>474</v>
      </c>
      <c r="D29" s="7" t="s">
        <v>48</v>
      </c>
      <c r="E29" s="7" t="s">
        <v>49</v>
      </c>
      <c r="F29" s="7" t="s">
        <v>475</v>
      </c>
      <c r="G29" s="7" t="s">
        <v>476</v>
      </c>
      <c r="H29" s="7" t="s">
        <v>477</v>
      </c>
      <c r="I29" s="8" t="s">
        <v>4</v>
      </c>
      <c r="J29" s="8"/>
      <c r="K29" s="8"/>
      <c r="L29" s="9"/>
      <c r="M29" s="8"/>
      <c r="N29" s="7" t="s">
        <v>53</v>
      </c>
      <c r="O29" s="7" t="s">
        <v>478</v>
      </c>
      <c r="P29" s="7" t="s">
        <v>55</v>
      </c>
      <c r="Q29" s="7" t="s">
        <v>479</v>
      </c>
      <c r="R29" s="7" t="s">
        <v>480</v>
      </c>
    </row>
    <row r="30" spans="1:18" ht="140.1" customHeight="1">
      <c r="A30" s="6" t="s">
        <v>481</v>
      </c>
      <c r="B30" s="6" t="s">
        <v>473</v>
      </c>
      <c r="C30" s="6" t="s">
        <v>482</v>
      </c>
      <c r="D30" s="6" t="s">
        <v>48</v>
      </c>
      <c r="E30" s="6" t="s">
        <v>49</v>
      </c>
      <c r="F30" s="6" t="s">
        <v>483</v>
      </c>
      <c r="G30" s="6" t="s">
        <v>476</v>
      </c>
      <c r="H30" s="6" t="s">
        <v>477</v>
      </c>
      <c r="I30" s="8" t="s">
        <v>4</v>
      </c>
      <c r="J30" s="8"/>
      <c r="K30" s="8"/>
      <c r="L30" s="9"/>
      <c r="M30" s="8"/>
      <c r="N30" s="6" t="s">
        <v>53</v>
      </c>
      <c r="O30" s="6" t="s">
        <v>478</v>
      </c>
      <c r="P30" s="6" t="s">
        <v>55</v>
      </c>
      <c r="Q30" s="6" t="s">
        <v>479</v>
      </c>
      <c r="R30" s="6" t="s">
        <v>480</v>
      </c>
    </row>
    <row r="31" spans="1:18" ht="140.1" customHeight="1">
      <c r="A31" s="7" t="s">
        <v>484</v>
      </c>
      <c r="B31" s="7" t="s">
        <v>473</v>
      </c>
      <c r="C31" s="7" t="s">
        <v>485</v>
      </c>
      <c r="D31" s="7" t="s">
        <v>48</v>
      </c>
      <c r="E31" s="7" t="s">
        <v>49</v>
      </c>
      <c r="F31" s="7" t="s">
        <v>486</v>
      </c>
      <c r="G31" s="7" t="s">
        <v>476</v>
      </c>
      <c r="H31" s="7" t="s">
        <v>477</v>
      </c>
      <c r="I31" s="8" t="s">
        <v>4</v>
      </c>
      <c r="J31" s="8"/>
      <c r="K31" s="8"/>
      <c r="L31" s="9"/>
      <c r="M31" s="8"/>
      <c r="N31" s="7" t="s">
        <v>53</v>
      </c>
      <c r="O31" s="7" t="s">
        <v>478</v>
      </c>
      <c r="P31" s="7" t="s">
        <v>55</v>
      </c>
      <c r="Q31" s="7" t="s">
        <v>479</v>
      </c>
      <c r="R31" s="7" t="s">
        <v>480</v>
      </c>
    </row>
    <row r="32" spans="1:18" ht="140.1" customHeight="1">
      <c r="A32" s="6" t="s">
        <v>487</v>
      </c>
      <c r="B32" s="6" t="s">
        <v>473</v>
      </c>
      <c r="C32" s="6" t="s">
        <v>488</v>
      </c>
      <c r="D32" s="6" t="s">
        <v>48</v>
      </c>
      <c r="E32" s="6" t="s">
        <v>49</v>
      </c>
      <c r="F32" s="6" t="s">
        <v>489</v>
      </c>
      <c r="G32" s="6" t="s">
        <v>476</v>
      </c>
      <c r="H32" s="6" t="s">
        <v>477</v>
      </c>
      <c r="I32" s="8" t="s">
        <v>4</v>
      </c>
      <c r="J32" s="8"/>
      <c r="K32" s="8"/>
      <c r="L32" s="9"/>
      <c r="M32" s="8"/>
      <c r="N32" s="6" t="s">
        <v>53</v>
      </c>
      <c r="O32" s="6" t="s">
        <v>478</v>
      </c>
      <c r="P32" s="6" t="s">
        <v>55</v>
      </c>
      <c r="Q32" s="6" t="s">
        <v>479</v>
      </c>
      <c r="R32" s="6" t="s">
        <v>480</v>
      </c>
    </row>
    <row r="33" spans="1:18" ht="140.1" customHeight="1">
      <c r="A33" s="7" t="s">
        <v>490</v>
      </c>
      <c r="B33" s="7" t="s">
        <v>473</v>
      </c>
      <c r="C33" s="7" t="s">
        <v>491</v>
      </c>
      <c r="D33" s="7" t="s">
        <v>48</v>
      </c>
      <c r="E33" s="7" t="s">
        <v>49</v>
      </c>
      <c r="F33" s="7" t="s">
        <v>492</v>
      </c>
      <c r="G33" s="7" t="s">
        <v>476</v>
      </c>
      <c r="H33" s="7" t="s">
        <v>477</v>
      </c>
      <c r="I33" s="8" t="s">
        <v>4</v>
      </c>
      <c r="J33" s="8"/>
      <c r="K33" s="8"/>
      <c r="L33" s="9"/>
      <c r="M33" s="8"/>
      <c r="N33" s="7" t="s">
        <v>53</v>
      </c>
      <c r="O33" s="7" t="s">
        <v>478</v>
      </c>
      <c r="P33" s="7" t="s">
        <v>55</v>
      </c>
      <c r="Q33" s="7" t="s">
        <v>479</v>
      </c>
      <c r="R33" s="7" t="s">
        <v>480</v>
      </c>
    </row>
    <row r="34" spans="1:18" ht="140.1" customHeight="1">
      <c r="A34" s="6" t="s">
        <v>493</v>
      </c>
      <c r="B34" s="6" t="s">
        <v>473</v>
      </c>
      <c r="C34" s="6" t="s">
        <v>494</v>
      </c>
      <c r="D34" s="6" t="s">
        <v>48</v>
      </c>
      <c r="E34" s="6" t="s">
        <v>49</v>
      </c>
      <c r="F34" s="6" t="s">
        <v>495</v>
      </c>
      <c r="G34" s="6" t="s">
        <v>476</v>
      </c>
      <c r="H34" s="6" t="s">
        <v>477</v>
      </c>
      <c r="I34" s="8" t="s">
        <v>4</v>
      </c>
      <c r="J34" s="8"/>
      <c r="K34" s="8"/>
      <c r="L34" s="9"/>
      <c r="M34" s="8"/>
      <c r="N34" s="6" t="s">
        <v>53</v>
      </c>
      <c r="O34" s="6" t="s">
        <v>478</v>
      </c>
      <c r="P34" s="6" t="s">
        <v>55</v>
      </c>
      <c r="Q34" s="6" t="s">
        <v>479</v>
      </c>
      <c r="R34" s="6" t="s">
        <v>480</v>
      </c>
    </row>
    <row r="35" spans="1:18" ht="140.1" customHeight="1">
      <c r="A35" s="7" t="s">
        <v>496</v>
      </c>
      <c r="B35" s="7" t="s">
        <v>473</v>
      </c>
      <c r="C35" s="7" t="s">
        <v>497</v>
      </c>
      <c r="D35" s="7" t="s">
        <v>48</v>
      </c>
      <c r="E35" s="7" t="s">
        <v>49</v>
      </c>
      <c r="F35" s="7" t="s">
        <v>498</v>
      </c>
      <c r="G35" s="7" t="s">
        <v>476</v>
      </c>
      <c r="H35" s="7" t="s">
        <v>477</v>
      </c>
      <c r="I35" s="8" t="s">
        <v>4</v>
      </c>
      <c r="J35" s="8"/>
      <c r="K35" s="8"/>
      <c r="L35" s="9"/>
      <c r="M35" s="8"/>
      <c r="N35" s="7" t="s">
        <v>53</v>
      </c>
      <c r="O35" s="7" t="s">
        <v>478</v>
      </c>
      <c r="P35" s="7" t="s">
        <v>55</v>
      </c>
      <c r="Q35" s="7" t="s">
        <v>479</v>
      </c>
      <c r="R35" s="7" t="s">
        <v>480</v>
      </c>
    </row>
    <row r="36" spans="1:18" ht="140.1" customHeight="1">
      <c r="A36" s="6" t="s">
        <v>499</v>
      </c>
      <c r="B36" s="6" t="s">
        <v>473</v>
      </c>
      <c r="C36" s="6" t="s">
        <v>500</v>
      </c>
      <c r="D36" s="6" t="s">
        <v>48</v>
      </c>
      <c r="E36" s="6" t="s">
        <v>49</v>
      </c>
      <c r="F36" s="6" t="s">
        <v>501</v>
      </c>
      <c r="G36" s="6" t="s">
        <v>476</v>
      </c>
      <c r="H36" s="6" t="s">
        <v>502</v>
      </c>
      <c r="I36" s="8" t="s">
        <v>4</v>
      </c>
      <c r="J36" s="8"/>
      <c r="K36" s="8"/>
      <c r="L36" s="9"/>
      <c r="M36" s="8"/>
      <c r="N36" s="6" t="s">
        <v>53</v>
      </c>
      <c r="O36" s="6" t="s">
        <v>478</v>
      </c>
      <c r="P36" s="6" t="s">
        <v>55</v>
      </c>
      <c r="Q36" s="6" t="s">
        <v>479</v>
      </c>
      <c r="R36" s="6"/>
    </row>
    <row r="37" spans="1:18" ht="140.1" customHeight="1">
      <c r="A37" s="7" t="s">
        <v>503</v>
      </c>
      <c r="B37" s="7" t="s">
        <v>473</v>
      </c>
      <c r="C37" s="7" t="s">
        <v>504</v>
      </c>
      <c r="D37" s="7" t="s">
        <v>48</v>
      </c>
      <c r="E37" s="7" t="s">
        <v>49</v>
      </c>
      <c r="F37" s="7" t="s">
        <v>505</v>
      </c>
      <c r="G37" s="7" t="s">
        <v>476</v>
      </c>
      <c r="H37" s="7" t="s">
        <v>502</v>
      </c>
      <c r="I37" s="8" t="s">
        <v>4</v>
      </c>
      <c r="J37" s="8"/>
      <c r="K37" s="8"/>
      <c r="L37" s="9"/>
      <c r="M37" s="8"/>
      <c r="N37" s="7" t="s">
        <v>53</v>
      </c>
      <c r="O37" s="7" t="s">
        <v>478</v>
      </c>
      <c r="P37" s="7" t="s">
        <v>55</v>
      </c>
      <c r="Q37" s="7" t="s">
        <v>479</v>
      </c>
      <c r="R37" s="7"/>
    </row>
    <row r="38" spans="1:18" ht="140.1" customHeight="1">
      <c r="A38" s="6" t="s">
        <v>506</v>
      </c>
      <c r="B38" s="6" t="s">
        <v>473</v>
      </c>
      <c r="C38" s="6" t="s">
        <v>507</v>
      </c>
      <c r="D38" s="6" t="s">
        <v>48</v>
      </c>
      <c r="E38" s="6" t="s">
        <v>49</v>
      </c>
      <c r="F38" s="6" t="s">
        <v>508</v>
      </c>
      <c r="G38" s="6" t="s">
        <v>476</v>
      </c>
      <c r="H38" s="6" t="s">
        <v>502</v>
      </c>
      <c r="I38" s="8" t="s">
        <v>4</v>
      </c>
      <c r="J38" s="8"/>
      <c r="K38" s="8"/>
      <c r="L38" s="9"/>
      <c r="M38" s="8"/>
      <c r="N38" s="6" t="s">
        <v>53</v>
      </c>
      <c r="O38" s="6" t="s">
        <v>478</v>
      </c>
      <c r="P38" s="6" t="s">
        <v>55</v>
      </c>
      <c r="Q38" s="6" t="s">
        <v>479</v>
      </c>
      <c r="R38" s="6"/>
    </row>
    <row r="39" spans="1:18" ht="140.1" customHeight="1">
      <c r="A39" s="7" t="s">
        <v>509</v>
      </c>
      <c r="B39" s="7" t="s">
        <v>14</v>
      </c>
      <c r="C39" s="7" t="s">
        <v>510</v>
      </c>
      <c r="D39" s="7" t="s">
        <v>84</v>
      </c>
      <c r="E39" s="7" t="s">
        <v>49</v>
      </c>
      <c r="F39" s="7" t="s">
        <v>511</v>
      </c>
      <c r="G39" s="7" t="s">
        <v>512</v>
      </c>
      <c r="H39" s="7" t="s">
        <v>513</v>
      </c>
      <c r="I39" s="8" t="s">
        <v>4</v>
      </c>
      <c r="J39" s="8"/>
      <c r="K39" s="8"/>
      <c r="L39" s="9"/>
      <c r="M39" s="8"/>
      <c r="N39" s="7" t="s">
        <v>53</v>
      </c>
      <c r="O39" s="7" t="s">
        <v>430</v>
      </c>
      <c r="P39" s="7" t="s">
        <v>55</v>
      </c>
      <c r="Q39" s="7" t="s">
        <v>56</v>
      </c>
      <c r="R39" s="7"/>
    </row>
    <row r="40" spans="1:18" ht="140.1" customHeight="1">
      <c r="A40" s="6" t="s">
        <v>514</v>
      </c>
      <c r="B40" s="6" t="s">
        <v>515</v>
      </c>
      <c r="C40" s="6" t="s">
        <v>510</v>
      </c>
      <c r="D40" s="6" t="s">
        <v>84</v>
      </c>
      <c r="E40" s="6" t="s">
        <v>49</v>
      </c>
      <c r="F40" s="6" t="s">
        <v>511</v>
      </c>
      <c r="G40" s="6" t="s">
        <v>512</v>
      </c>
      <c r="H40" s="6" t="s">
        <v>513</v>
      </c>
      <c r="I40" s="8" t="s">
        <v>4</v>
      </c>
      <c r="J40" s="8"/>
      <c r="K40" s="8"/>
      <c r="L40" s="9"/>
      <c r="M40" s="8"/>
      <c r="N40" s="6" t="s">
        <v>53</v>
      </c>
      <c r="O40" s="6" t="s">
        <v>516</v>
      </c>
      <c r="P40" s="6" t="s">
        <v>55</v>
      </c>
      <c r="Q40" s="6" t="s">
        <v>56</v>
      </c>
      <c r="R40" s="6" t="s">
        <v>517</v>
      </c>
    </row>
    <row r="41" spans="1:18" ht="140.1" customHeight="1">
      <c r="A41" s="7" t="s">
        <v>518</v>
      </c>
      <c r="B41" s="7" t="s">
        <v>14</v>
      </c>
      <c r="C41" s="7" t="s">
        <v>519</v>
      </c>
      <c r="D41" s="7" t="s">
        <v>84</v>
      </c>
      <c r="E41" s="7" t="s">
        <v>49</v>
      </c>
      <c r="F41" s="7" t="s">
        <v>511</v>
      </c>
      <c r="G41" s="7" t="s">
        <v>520</v>
      </c>
      <c r="H41" s="7" t="s">
        <v>513</v>
      </c>
      <c r="I41" s="8" t="s">
        <v>4</v>
      </c>
      <c r="J41" s="8"/>
      <c r="K41" s="8"/>
      <c r="L41" s="9"/>
      <c r="M41" s="8"/>
      <c r="N41" s="7" t="s">
        <v>53</v>
      </c>
      <c r="O41" s="7" t="s">
        <v>430</v>
      </c>
      <c r="P41" s="7" t="s">
        <v>55</v>
      </c>
      <c r="Q41" s="7" t="s">
        <v>56</v>
      </c>
      <c r="R41" s="7"/>
    </row>
    <row r="42" spans="1:18" ht="140.1" customHeight="1">
      <c r="A42" s="6" t="s">
        <v>521</v>
      </c>
      <c r="B42" s="6" t="s">
        <v>515</v>
      </c>
      <c r="C42" s="6" t="s">
        <v>519</v>
      </c>
      <c r="D42" s="6" t="s">
        <v>84</v>
      </c>
      <c r="E42" s="6" t="s">
        <v>49</v>
      </c>
      <c r="F42" s="6" t="s">
        <v>511</v>
      </c>
      <c r="G42" s="6" t="s">
        <v>520</v>
      </c>
      <c r="H42" s="6" t="s">
        <v>513</v>
      </c>
      <c r="I42" s="8" t="s">
        <v>4</v>
      </c>
      <c r="J42" s="8"/>
      <c r="K42" s="8"/>
      <c r="L42" s="9"/>
      <c r="M42" s="8"/>
      <c r="N42" s="6" t="s">
        <v>53</v>
      </c>
      <c r="O42" s="6" t="s">
        <v>516</v>
      </c>
      <c r="P42" s="6" t="s">
        <v>55</v>
      </c>
      <c r="Q42" s="6" t="s">
        <v>56</v>
      </c>
      <c r="R42" s="6"/>
    </row>
    <row r="43" spans="1:18" ht="140.1" customHeight="1">
      <c r="A43" s="7" t="s">
        <v>522</v>
      </c>
      <c r="B43" s="7" t="s">
        <v>515</v>
      </c>
      <c r="C43" s="7" t="s">
        <v>523</v>
      </c>
      <c r="D43" s="7" t="s">
        <v>48</v>
      </c>
      <c r="E43" s="7" t="s">
        <v>49</v>
      </c>
      <c r="F43" s="7" t="s">
        <v>524</v>
      </c>
      <c r="G43" s="7" t="s">
        <v>525</v>
      </c>
      <c r="H43" s="7" t="s">
        <v>526</v>
      </c>
      <c r="I43" s="8" t="s">
        <v>4</v>
      </c>
      <c r="J43" s="8"/>
      <c r="K43" s="8"/>
      <c r="L43" s="9"/>
      <c r="M43" s="8"/>
      <c r="N43" s="7" t="s">
        <v>53</v>
      </c>
      <c r="O43" s="7" t="s">
        <v>516</v>
      </c>
      <c r="P43" s="7" t="s">
        <v>55</v>
      </c>
      <c r="Q43" s="7" t="s">
        <v>56</v>
      </c>
      <c r="R43" s="7"/>
    </row>
    <row r="44" spans="1:18" ht="140.1" customHeight="1">
      <c r="A44" s="6" t="s">
        <v>527</v>
      </c>
      <c r="B44" s="6" t="s">
        <v>515</v>
      </c>
      <c r="C44" s="6" t="s">
        <v>528</v>
      </c>
      <c r="D44" s="6" t="s">
        <v>48</v>
      </c>
      <c r="E44" s="6" t="s">
        <v>49</v>
      </c>
      <c r="F44" s="6" t="s">
        <v>529</v>
      </c>
      <c r="G44" s="6" t="s">
        <v>525</v>
      </c>
      <c r="H44" s="6" t="s">
        <v>530</v>
      </c>
      <c r="I44" s="8" t="s">
        <v>4</v>
      </c>
      <c r="J44" s="8"/>
      <c r="K44" s="8"/>
      <c r="L44" s="9"/>
      <c r="M44" s="8"/>
      <c r="N44" s="6" t="s">
        <v>53</v>
      </c>
      <c r="O44" s="6" t="s">
        <v>516</v>
      </c>
      <c r="P44" s="6" t="s">
        <v>55</v>
      </c>
      <c r="Q44" s="6" t="s">
        <v>56</v>
      </c>
      <c r="R44" s="6"/>
    </row>
  </sheetData>
  <conditionalFormatting sqref="I6:I44">
    <cfRule type="cellIs" dxfId="13" priority="1" operator="equal">
      <formula>"فشلت"</formula>
    </cfRule>
    <cfRule type="cellIs" dxfId="12" priority="2" operator="equal">
      <formula>"محجوبة"</formula>
    </cfRule>
  </conditionalFormatting>
  <dataValidations count="1">
    <dataValidation type="list" sqref="I6:I44" xr:uid="{00000000-0002-0000-0400-000000000000}">
      <formula1>"لم تنفذ,نجحت,فشلت,محجوبة,غير منطبقة"</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80"/>
  <sheetViews>
    <sheetView showGridLines="0" rightToLeft="1" zoomScale="85" workbookViewId="0">
      <pane xSplit="2" ySplit="5" topLeftCell="C6" activePane="bottomRight" state="frozen"/>
      <selection pane="topRight"/>
      <selection pane="bottomLeft"/>
      <selection pane="bottomRight" activeCell="C6" sqref="C6"/>
    </sheetView>
  </sheetViews>
  <sheetFormatPr defaultRowHeight="14.25"/>
  <cols>
    <col min="1" max="1" width="14" customWidth="1"/>
    <col min="2" max="2" width="25" customWidth="1"/>
    <col min="3" max="3" width="40" customWidth="1"/>
    <col min="4" max="4" width="13" customWidth="1"/>
    <col min="5" max="5" width="48" customWidth="1"/>
    <col min="6" max="6" width="50" customWidth="1"/>
    <col min="7" max="8" width="72" customWidth="1"/>
    <col min="9" max="9" width="17" customWidth="1"/>
    <col min="10" max="10" width="45" customWidth="1"/>
    <col min="11" max="11" width="20" customWidth="1"/>
    <col min="12" max="13" width="18" customWidth="1"/>
    <col min="14" max="14" width="52" customWidth="1"/>
    <col min="15" max="15" width="66" customWidth="1"/>
    <col min="16" max="16" width="26" customWidth="1"/>
    <col min="17" max="17" width="23" customWidth="1"/>
    <col min="18" max="18" width="56" customWidth="1"/>
  </cols>
  <sheetData>
    <row r="1" spans="1:18">
      <c r="A1" s="1"/>
      <c r="B1" s="1"/>
      <c r="C1" s="1"/>
      <c r="D1" s="1"/>
      <c r="E1" s="1"/>
      <c r="F1" s="1"/>
      <c r="G1" s="1"/>
      <c r="H1" s="1"/>
      <c r="I1" s="1"/>
      <c r="J1" s="1"/>
      <c r="K1" s="1"/>
      <c r="L1" s="1"/>
      <c r="M1" s="1"/>
      <c r="N1" s="1"/>
      <c r="O1" s="1"/>
      <c r="P1" s="1"/>
      <c r="Q1" s="1"/>
      <c r="R1" s="1"/>
    </row>
    <row r="2" spans="1:18" ht="30" customHeight="1">
      <c r="A2" s="2" t="s">
        <v>531</v>
      </c>
      <c r="B2" s="1"/>
      <c r="C2" s="1"/>
      <c r="D2" s="1"/>
      <c r="E2" s="1"/>
      <c r="F2" s="1"/>
      <c r="G2" s="1"/>
      <c r="H2" s="1"/>
      <c r="I2" s="1"/>
      <c r="J2" s="1"/>
      <c r="K2" s="1"/>
      <c r="L2" s="1"/>
      <c r="M2" s="1"/>
      <c r="N2" s="1"/>
      <c r="O2" s="1"/>
      <c r="P2" s="1"/>
      <c r="Q2" s="1"/>
      <c r="R2" s="1"/>
    </row>
    <row r="3" spans="1:18">
      <c r="A3" s="3" t="s">
        <v>26</v>
      </c>
      <c r="B3" s="1"/>
      <c r="C3" s="1"/>
      <c r="D3" s="1"/>
      <c r="E3" s="1"/>
      <c r="F3" s="1"/>
      <c r="G3" s="1"/>
      <c r="H3" s="1"/>
      <c r="I3" s="1"/>
      <c r="J3" s="1"/>
      <c r="K3" s="1"/>
      <c r="L3" s="1"/>
      <c r="M3" s="1"/>
      <c r="N3" s="1"/>
      <c r="O3" s="1"/>
      <c r="P3" s="1"/>
      <c r="Q3" s="1"/>
      <c r="R3" s="1"/>
    </row>
    <row r="4" spans="1:18">
      <c r="A4" s="1"/>
      <c r="B4" s="1"/>
      <c r="C4" s="1"/>
      <c r="D4" s="1"/>
      <c r="E4" s="1"/>
      <c r="F4" s="1"/>
      <c r="G4" s="1"/>
      <c r="H4" s="1"/>
      <c r="I4" s="1"/>
      <c r="J4" s="1"/>
      <c r="K4" s="1"/>
      <c r="L4" s="1"/>
      <c r="M4" s="1"/>
      <c r="N4" s="1"/>
      <c r="O4" s="1"/>
      <c r="P4" s="1"/>
      <c r="Q4" s="1"/>
      <c r="R4" s="1"/>
    </row>
    <row r="5" spans="1:18" ht="36" customHeight="1">
      <c r="A5" s="5" t="s">
        <v>27</v>
      </c>
      <c r="B5" s="5" t="s">
        <v>28</v>
      </c>
      <c r="C5" s="5" t="s">
        <v>29</v>
      </c>
      <c r="D5" s="5" t="s">
        <v>30</v>
      </c>
      <c r="E5" s="5" t="s">
        <v>31</v>
      </c>
      <c r="F5" s="5" t="s">
        <v>32</v>
      </c>
      <c r="G5" s="5" t="s">
        <v>33</v>
      </c>
      <c r="H5" s="5" t="s">
        <v>34</v>
      </c>
      <c r="I5" s="5" t="s">
        <v>35</v>
      </c>
      <c r="J5" s="5" t="s">
        <v>36</v>
      </c>
      <c r="K5" s="5" t="s">
        <v>37</v>
      </c>
      <c r="L5" s="5" t="s">
        <v>38</v>
      </c>
      <c r="M5" s="5" t="s">
        <v>39</v>
      </c>
      <c r="N5" s="5" t="s">
        <v>40</v>
      </c>
      <c r="O5" s="5" t="s">
        <v>41</v>
      </c>
      <c r="P5" s="5" t="s">
        <v>42</v>
      </c>
      <c r="Q5" s="5" t="s">
        <v>43</v>
      </c>
      <c r="R5" s="5" t="s">
        <v>44</v>
      </c>
    </row>
    <row r="6" spans="1:18" ht="140.1" customHeight="1">
      <c r="A6" s="6" t="s">
        <v>532</v>
      </c>
      <c r="B6" s="6" t="s">
        <v>533</v>
      </c>
      <c r="C6" s="6" t="s">
        <v>534</v>
      </c>
      <c r="D6" s="6" t="s">
        <v>48</v>
      </c>
      <c r="E6" s="6" t="s">
        <v>49</v>
      </c>
      <c r="F6" s="6" t="s">
        <v>535</v>
      </c>
      <c r="G6" s="6" t="s">
        <v>536</v>
      </c>
      <c r="H6" s="6" t="s">
        <v>537</v>
      </c>
      <c r="I6" s="8" t="s">
        <v>4</v>
      </c>
      <c r="J6" s="8"/>
      <c r="K6" s="8"/>
      <c r="L6" s="9"/>
      <c r="M6" s="8"/>
      <c r="N6" s="6" t="s">
        <v>53</v>
      </c>
      <c r="O6" s="6" t="s">
        <v>538</v>
      </c>
      <c r="P6" s="6" t="s">
        <v>55</v>
      </c>
      <c r="Q6" s="6" t="s">
        <v>539</v>
      </c>
      <c r="R6" s="6"/>
    </row>
    <row r="7" spans="1:18" ht="140.1" customHeight="1">
      <c r="A7" s="7" t="s">
        <v>540</v>
      </c>
      <c r="B7" s="7" t="s">
        <v>533</v>
      </c>
      <c r="C7" s="7" t="s">
        <v>541</v>
      </c>
      <c r="D7" s="7" t="s">
        <v>48</v>
      </c>
      <c r="E7" s="7" t="s">
        <v>49</v>
      </c>
      <c r="F7" s="7" t="s">
        <v>535</v>
      </c>
      <c r="G7" s="7" t="s">
        <v>542</v>
      </c>
      <c r="H7" s="7" t="s">
        <v>537</v>
      </c>
      <c r="I7" s="8" t="s">
        <v>4</v>
      </c>
      <c r="J7" s="8"/>
      <c r="K7" s="8"/>
      <c r="L7" s="9"/>
      <c r="M7" s="8"/>
      <c r="N7" s="7" t="s">
        <v>53</v>
      </c>
      <c r="O7" s="7" t="s">
        <v>538</v>
      </c>
      <c r="P7" s="7" t="s">
        <v>55</v>
      </c>
      <c r="Q7" s="7" t="s">
        <v>539</v>
      </c>
      <c r="R7" s="7"/>
    </row>
    <row r="8" spans="1:18" ht="140.1" customHeight="1">
      <c r="A8" s="6" t="s">
        <v>543</v>
      </c>
      <c r="B8" s="6" t="s">
        <v>533</v>
      </c>
      <c r="C8" s="6" t="s">
        <v>544</v>
      </c>
      <c r="D8" s="6" t="s">
        <v>48</v>
      </c>
      <c r="E8" s="6" t="s">
        <v>49</v>
      </c>
      <c r="F8" s="6" t="s">
        <v>535</v>
      </c>
      <c r="G8" s="6" t="s">
        <v>545</v>
      </c>
      <c r="H8" s="6" t="s">
        <v>537</v>
      </c>
      <c r="I8" s="8" t="s">
        <v>4</v>
      </c>
      <c r="J8" s="8"/>
      <c r="K8" s="8"/>
      <c r="L8" s="9"/>
      <c r="M8" s="8"/>
      <c r="N8" s="6" t="s">
        <v>53</v>
      </c>
      <c r="O8" s="6" t="s">
        <v>538</v>
      </c>
      <c r="P8" s="6" t="s">
        <v>55</v>
      </c>
      <c r="Q8" s="6" t="s">
        <v>539</v>
      </c>
      <c r="R8" s="6"/>
    </row>
    <row r="9" spans="1:18" ht="140.1" customHeight="1">
      <c r="A9" s="7" t="s">
        <v>546</v>
      </c>
      <c r="B9" s="7" t="s">
        <v>533</v>
      </c>
      <c r="C9" s="7" t="s">
        <v>547</v>
      </c>
      <c r="D9" s="7" t="s">
        <v>48</v>
      </c>
      <c r="E9" s="7" t="s">
        <v>49</v>
      </c>
      <c r="F9" s="7" t="s">
        <v>548</v>
      </c>
      <c r="G9" s="7" t="s">
        <v>549</v>
      </c>
      <c r="H9" s="7" t="s">
        <v>550</v>
      </c>
      <c r="I9" s="8" t="s">
        <v>4</v>
      </c>
      <c r="J9" s="8"/>
      <c r="K9" s="8"/>
      <c r="L9" s="9"/>
      <c r="M9" s="8"/>
      <c r="N9" s="7" t="s">
        <v>53</v>
      </c>
      <c r="O9" s="7" t="s">
        <v>538</v>
      </c>
      <c r="P9" s="7" t="s">
        <v>55</v>
      </c>
      <c r="Q9" s="7" t="s">
        <v>551</v>
      </c>
      <c r="R9" s="7" t="s">
        <v>552</v>
      </c>
    </row>
    <row r="10" spans="1:18" ht="140.1" customHeight="1">
      <c r="A10" s="6" t="s">
        <v>553</v>
      </c>
      <c r="B10" s="6" t="s">
        <v>533</v>
      </c>
      <c r="C10" s="6" t="s">
        <v>554</v>
      </c>
      <c r="D10" s="6" t="s">
        <v>48</v>
      </c>
      <c r="E10" s="6" t="s">
        <v>49</v>
      </c>
      <c r="F10" s="6" t="s">
        <v>555</v>
      </c>
      <c r="G10" s="6" t="s">
        <v>556</v>
      </c>
      <c r="H10" s="6" t="s">
        <v>550</v>
      </c>
      <c r="I10" s="8" t="s">
        <v>4</v>
      </c>
      <c r="J10" s="8"/>
      <c r="K10" s="8"/>
      <c r="L10" s="9"/>
      <c r="M10" s="8"/>
      <c r="N10" s="6" t="s">
        <v>53</v>
      </c>
      <c r="O10" s="6" t="s">
        <v>538</v>
      </c>
      <c r="P10" s="6" t="s">
        <v>55</v>
      </c>
      <c r="Q10" s="6" t="s">
        <v>551</v>
      </c>
      <c r="R10" s="6" t="s">
        <v>552</v>
      </c>
    </row>
    <row r="11" spans="1:18" ht="140.1" customHeight="1">
      <c r="A11" s="7" t="s">
        <v>557</v>
      </c>
      <c r="B11" s="7" t="s">
        <v>533</v>
      </c>
      <c r="C11" s="7" t="s">
        <v>558</v>
      </c>
      <c r="D11" s="7" t="s">
        <v>48</v>
      </c>
      <c r="E11" s="7" t="s">
        <v>49</v>
      </c>
      <c r="F11" s="7" t="s">
        <v>559</v>
      </c>
      <c r="G11" s="7" t="s">
        <v>560</v>
      </c>
      <c r="H11" s="7" t="s">
        <v>550</v>
      </c>
      <c r="I11" s="8" t="s">
        <v>4</v>
      </c>
      <c r="J11" s="8"/>
      <c r="K11" s="8"/>
      <c r="L11" s="9"/>
      <c r="M11" s="8"/>
      <c r="N11" s="7" t="s">
        <v>53</v>
      </c>
      <c r="O11" s="7" t="s">
        <v>538</v>
      </c>
      <c r="P11" s="7" t="s">
        <v>55</v>
      </c>
      <c r="Q11" s="7" t="s">
        <v>551</v>
      </c>
      <c r="R11" s="7" t="s">
        <v>552</v>
      </c>
    </row>
    <row r="12" spans="1:18" ht="140.1" customHeight="1">
      <c r="A12" s="6" t="s">
        <v>561</v>
      </c>
      <c r="B12" s="6" t="s">
        <v>533</v>
      </c>
      <c r="C12" s="6" t="s">
        <v>562</v>
      </c>
      <c r="D12" s="6" t="s">
        <v>48</v>
      </c>
      <c r="E12" s="6" t="s">
        <v>49</v>
      </c>
      <c r="F12" s="6" t="s">
        <v>563</v>
      </c>
      <c r="G12" s="6" t="s">
        <v>564</v>
      </c>
      <c r="H12" s="6" t="s">
        <v>550</v>
      </c>
      <c r="I12" s="8" t="s">
        <v>4</v>
      </c>
      <c r="J12" s="8"/>
      <c r="K12" s="8"/>
      <c r="L12" s="9"/>
      <c r="M12" s="8"/>
      <c r="N12" s="6" t="s">
        <v>53</v>
      </c>
      <c r="O12" s="6" t="s">
        <v>538</v>
      </c>
      <c r="P12" s="6" t="s">
        <v>55</v>
      </c>
      <c r="Q12" s="6" t="s">
        <v>551</v>
      </c>
      <c r="R12" s="6" t="s">
        <v>552</v>
      </c>
    </row>
    <row r="13" spans="1:18" ht="140.1" customHeight="1">
      <c r="A13" s="7" t="s">
        <v>565</v>
      </c>
      <c r="B13" s="7" t="s">
        <v>533</v>
      </c>
      <c r="C13" s="7" t="s">
        <v>566</v>
      </c>
      <c r="D13" s="7" t="s">
        <v>48</v>
      </c>
      <c r="E13" s="7" t="s">
        <v>49</v>
      </c>
      <c r="F13" s="7" t="s">
        <v>567</v>
      </c>
      <c r="G13" s="7" t="s">
        <v>568</v>
      </c>
      <c r="H13" s="7" t="s">
        <v>569</v>
      </c>
      <c r="I13" s="8" t="s">
        <v>4</v>
      </c>
      <c r="J13" s="8"/>
      <c r="K13" s="8"/>
      <c r="L13" s="9"/>
      <c r="M13" s="8"/>
      <c r="N13" s="7" t="s">
        <v>53</v>
      </c>
      <c r="O13" s="7" t="s">
        <v>538</v>
      </c>
      <c r="P13" s="7" t="s">
        <v>55</v>
      </c>
      <c r="Q13" s="7" t="s">
        <v>479</v>
      </c>
      <c r="R13" s="7"/>
    </row>
    <row r="14" spans="1:18" ht="140.1" customHeight="1">
      <c r="A14" s="6" t="s">
        <v>570</v>
      </c>
      <c r="B14" s="6" t="s">
        <v>533</v>
      </c>
      <c r="C14" s="6" t="s">
        <v>571</v>
      </c>
      <c r="D14" s="6" t="s">
        <v>48</v>
      </c>
      <c r="E14" s="6" t="s">
        <v>49</v>
      </c>
      <c r="F14" s="6" t="s">
        <v>572</v>
      </c>
      <c r="G14" s="6" t="s">
        <v>573</v>
      </c>
      <c r="H14" s="6" t="s">
        <v>574</v>
      </c>
      <c r="I14" s="8" t="s">
        <v>4</v>
      </c>
      <c r="J14" s="8"/>
      <c r="K14" s="8"/>
      <c r="L14" s="9"/>
      <c r="M14" s="8"/>
      <c r="N14" s="6" t="s">
        <v>53</v>
      </c>
      <c r="O14" s="6" t="s">
        <v>538</v>
      </c>
      <c r="P14" s="6" t="s">
        <v>55</v>
      </c>
      <c r="Q14" s="6" t="s">
        <v>56</v>
      </c>
      <c r="R14" s="6"/>
    </row>
    <row r="15" spans="1:18" ht="140.1" customHeight="1">
      <c r="A15" s="7" t="s">
        <v>575</v>
      </c>
      <c r="B15" s="7" t="s">
        <v>533</v>
      </c>
      <c r="C15" s="7" t="s">
        <v>576</v>
      </c>
      <c r="D15" s="7" t="s">
        <v>84</v>
      </c>
      <c r="E15" s="7" t="s">
        <v>49</v>
      </c>
      <c r="F15" s="7" t="s">
        <v>577</v>
      </c>
      <c r="G15" s="7" t="s">
        <v>578</v>
      </c>
      <c r="H15" s="7" t="s">
        <v>579</v>
      </c>
      <c r="I15" s="8" t="s">
        <v>4</v>
      </c>
      <c r="J15" s="8"/>
      <c r="K15" s="8"/>
      <c r="L15" s="9"/>
      <c r="M15" s="8"/>
      <c r="N15" s="7" t="s">
        <v>53</v>
      </c>
      <c r="O15" s="7" t="s">
        <v>538</v>
      </c>
      <c r="P15" s="7" t="s">
        <v>55</v>
      </c>
      <c r="Q15" s="7" t="s">
        <v>56</v>
      </c>
      <c r="R15" s="7"/>
    </row>
    <row r="16" spans="1:18" ht="140.1" customHeight="1">
      <c r="A16" s="6" t="s">
        <v>580</v>
      </c>
      <c r="B16" s="6" t="s">
        <v>533</v>
      </c>
      <c r="C16" s="6" t="s">
        <v>581</v>
      </c>
      <c r="D16" s="6" t="s">
        <v>48</v>
      </c>
      <c r="E16" s="6" t="s">
        <v>49</v>
      </c>
      <c r="F16" s="6" t="s">
        <v>582</v>
      </c>
      <c r="G16" s="6" t="s">
        <v>583</v>
      </c>
      <c r="H16" s="6" t="s">
        <v>584</v>
      </c>
      <c r="I16" s="8" t="s">
        <v>4</v>
      </c>
      <c r="J16" s="8"/>
      <c r="K16" s="8"/>
      <c r="L16" s="9"/>
      <c r="M16" s="8"/>
      <c r="N16" s="6" t="s">
        <v>53</v>
      </c>
      <c r="O16" s="6" t="s">
        <v>538</v>
      </c>
      <c r="P16" s="6" t="s">
        <v>55</v>
      </c>
      <c r="Q16" s="6" t="s">
        <v>585</v>
      </c>
      <c r="R16" s="6"/>
    </row>
    <row r="17" spans="1:18" ht="140.1" customHeight="1">
      <c r="A17" s="7" t="s">
        <v>586</v>
      </c>
      <c r="B17" s="7" t="s">
        <v>533</v>
      </c>
      <c r="C17" s="7" t="s">
        <v>587</v>
      </c>
      <c r="D17" s="7" t="s">
        <v>48</v>
      </c>
      <c r="E17" s="7" t="s">
        <v>49</v>
      </c>
      <c r="F17" s="7" t="s">
        <v>588</v>
      </c>
      <c r="G17" s="7" t="s">
        <v>583</v>
      </c>
      <c r="H17" s="7" t="s">
        <v>589</v>
      </c>
      <c r="I17" s="8" t="s">
        <v>4</v>
      </c>
      <c r="J17" s="8"/>
      <c r="K17" s="8"/>
      <c r="L17" s="9"/>
      <c r="M17" s="8"/>
      <c r="N17" s="7" t="s">
        <v>53</v>
      </c>
      <c r="O17" s="7" t="s">
        <v>538</v>
      </c>
      <c r="P17" s="7" t="s">
        <v>55</v>
      </c>
      <c r="Q17" s="7" t="s">
        <v>585</v>
      </c>
      <c r="R17" s="7"/>
    </row>
    <row r="18" spans="1:18" ht="140.1" customHeight="1">
      <c r="A18" s="6" t="s">
        <v>590</v>
      </c>
      <c r="B18" s="6" t="s">
        <v>533</v>
      </c>
      <c r="C18" s="6" t="s">
        <v>591</v>
      </c>
      <c r="D18" s="6" t="s">
        <v>84</v>
      </c>
      <c r="E18" s="6" t="s">
        <v>49</v>
      </c>
      <c r="F18" s="6" t="s">
        <v>535</v>
      </c>
      <c r="G18" s="6" t="s">
        <v>592</v>
      </c>
      <c r="H18" s="6" t="s">
        <v>593</v>
      </c>
      <c r="I18" s="8" t="s">
        <v>4</v>
      </c>
      <c r="J18" s="8"/>
      <c r="K18" s="8"/>
      <c r="L18" s="9"/>
      <c r="M18" s="8"/>
      <c r="N18" s="6" t="s">
        <v>53</v>
      </c>
      <c r="O18" s="6" t="s">
        <v>538</v>
      </c>
      <c r="P18" s="6" t="s">
        <v>55</v>
      </c>
      <c r="Q18" s="6" t="s">
        <v>56</v>
      </c>
      <c r="R18" s="6"/>
    </row>
    <row r="19" spans="1:18" ht="140.1" customHeight="1">
      <c r="A19" s="7" t="s">
        <v>594</v>
      </c>
      <c r="B19" s="7" t="s">
        <v>533</v>
      </c>
      <c r="C19" s="7" t="s">
        <v>595</v>
      </c>
      <c r="D19" s="7" t="s">
        <v>48</v>
      </c>
      <c r="E19" s="7" t="s">
        <v>49</v>
      </c>
      <c r="F19" s="7" t="s">
        <v>535</v>
      </c>
      <c r="G19" s="7" t="s">
        <v>596</v>
      </c>
      <c r="H19" s="7" t="s">
        <v>597</v>
      </c>
      <c r="I19" s="8" t="s">
        <v>4</v>
      </c>
      <c r="J19" s="8"/>
      <c r="K19" s="8"/>
      <c r="L19" s="9"/>
      <c r="M19" s="8"/>
      <c r="N19" s="7" t="s">
        <v>53</v>
      </c>
      <c r="O19" s="7" t="s">
        <v>598</v>
      </c>
      <c r="P19" s="7" t="s">
        <v>55</v>
      </c>
      <c r="Q19" s="7" t="s">
        <v>56</v>
      </c>
      <c r="R19" s="7"/>
    </row>
    <row r="20" spans="1:18" ht="140.1" customHeight="1">
      <c r="A20" s="6" t="s">
        <v>599</v>
      </c>
      <c r="B20" s="6" t="s">
        <v>533</v>
      </c>
      <c r="C20" s="6" t="s">
        <v>600</v>
      </c>
      <c r="D20" s="6" t="s">
        <v>84</v>
      </c>
      <c r="E20" s="6" t="s">
        <v>49</v>
      </c>
      <c r="F20" s="6" t="s">
        <v>535</v>
      </c>
      <c r="G20" s="6" t="s">
        <v>601</v>
      </c>
      <c r="H20" s="6" t="s">
        <v>602</v>
      </c>
      <c r="I20" s="8" t="s">
        <v>4</v>
      </c>
      <c r="J20" s="8"/>
      <c r="K20" s="8"/>
      <c r="L20" s="9"/>
      <c r="M20" s="8"/>
      <c r="N20" s="6" t="s">
        <v>53</v>
      </c>
      <c r="O20" s="6" t="s">
        <v>538</v>
      </c>
      <c r="P20" s="6" t="s">
        <v>55</v>
      </c>
      <c r="Q20" s="6" t="s">
        <v>56</v>
      </c>
      <c r="R20" s="6"/>
    </row>
    <row r="21" spans="1:18" ht="140.1" customHeight="1">
      <c r="A21" s="7" t="s">
        <v>603</v>
      </c>
      <c r="B21" s="7" t="s">
        <v>604</v>
      </c>
      <c r="C21" s="7" t="s">
        <v>534</v>
      </c>
      <c r="D21" s="7" t="s">
        <v>48</v>
      </c>
      <c r="E21" s="7" t="s">
        <v>49</v>
      </c>
      <c r="F21" s="7" t="s">
        <v>535</v>
      </c>
      <c r="G21" s="7" t="s">
        <v>605</v>
      </c>
      <c r="H21" s="7" t="s">
        <v>606</v>
      </c>
      <c r="I21" s="8" t="s">
        <v>4</v>
      </c>
      <c r="J21" s="8"/>
      <c r="K21" s="8"/>
      <c r="L21" s="9"/>
      <c r="M21" s="8"/>
      <c r="N21" s="7" t="s">
        <v>53</v>
      </c>
      <c r="O21" s="7" t="s">
        <v>607</v>
      </c>
      <c r="P21" s="7" t="s">
        <v>55</v>
      </c>
      <c r="Q21" s="7" t="s">
        <v>539</v>
      </c>
      <c r="R21" s="7"/>
    </row>
    <row r="22" spans="1:18" ht="140.1" customHeight="1">
      <c r="A22" s="6" t="s">
        <v>608</v>
      </c>
      <c r="B22" s="6" t="s">
        <v>604</v>
      </c>
      <c r="C22" s="6" t="s">
        <v>541</v>
      </c>
      <c r="D22" s="6" t="s">
        <v>48</v>
      </c>
      <c r="E22" s="6" t="s">
        <v>49</v>
      </c>
      <c r="F22" s="6" t="s">
        <v>535</v>
      </c>
      <c r="G22" s="6" t="s">
        <v>609</v>
      </c>
      <c r="H22" s="6" t="s">
        <v>606</v>
      </c>
      <c r="I22" s="8" t="s">
        <v>4</v>
      </c>
      <c r="J22" s="8"/>
      <c r="K22" s="8"/>
      <c r="L22" s="9"/>
      <c r="M22" s="8"/>
      <c r="N22" s="6" t="s">
        <v>53</v>
      </c>
      <c r="O22" s="6" t="s">
        <v>607</v>
      </c>
      <c r="P22" s="6" t="s">
        <v>55</v>
      </c>
      <c r="Q22" s="6" t="s">
        <v>539</v>
      </c>
      <c r="R22" s="6"/>
    </row>
    <row r="23" spans="1:18" ht="140.1" customHeight="1">
      <c r="A23" s="7" t="s">
        <v>610</v>
      </c>
      <c r="B23" s="7" t="s">
        <v>604</v>
      </c>
      <c r="C23" s="7" t="s">
        <v>544</v>
      </c>
      <c r="D23" s="7" t="s">
        <v>48</v>
      </c>
      <c r="E23" s="7" t="s">
        <v>49</v>
      </c>
      <c r="F23" s="7" t="s">
        <v>535</v>
      </c>
      <c r="G23" s="7" t="s">
        <v>611</v>
      </c>
      <c r="H23" s="7" t="s">
        <v>606</v>
      </c>
      <c r="I23" s="8" t="s">
        <v>4</v>
      </c>
      <c r="J23" s="8"/>
      <c r="K23" s="8"/>
      <c r="L23" s="9"/>
      <c r="M23" s="8"/>
      <c r="N23" s="7" t="s">
        <v>53</v>
      </c>
      <c r="O23" s="7" t="s">
        <v>607</v>
      </c>
      <c r="P23" s="7" t="s">
        <v>55</v>
      </c>
      <c r="Q23" s="7" t="s">
        <v>539</v>
      </c>
      <c r="R23" s="7"/>
    </row>
    <row r="24" spans="1:18" ht="140.1" customHeight="1">
      <c r="A24" s="6" t="s">
        <v>612</v>
      </c>
      <c r="B24" s="6" t="s">
        <v>604</v>
      </c>
      <c r="C24" s="6" t="s">
        <v>547</v>
      </c>
      <c r="D24" s="6" t="s">
        <v>48</v>
      </c>
      <c r="E24" s="6" t="s">
        <v>49</v>
      </c>
      <c r="F24" s="6" t="s">
        <v>548</v>
      </c>
      <c r="G24" s="6" t="s">
        <v>613</v>
      </c>
      <c r="H24" s="6" t="s">
        <v>550</v>
      </c>
      <c r="I24" s="8" t="s">
        <v>4</v>
      </c>
      <c r="J24" s="8"/>
      <c r="K24" s="8"/>
      <c r="L24" s="9"/>
      <c r="M24" s="8"/>
      <c r="N24" s="6" t="s">
        <v>53</v>
      </c>
      <c r="O24" s="6" t="s">
        <v>607</v>
      </c>
      <c r="P24" s="6" t="s">
        <v>55</v>
      </c>
      <c r="Q24" s="6" t="s">
        <v>551</v>
      </c>
      <c r="R24" s="6" t="s">
        <v>552</v>
      </c>
    </row>
    <row r="25" spans="1:18" ht="140.1" customHeight="1">
      <c r="A25" s="7" t="s">
        <v>614</v>
      </c>
      <c r="B25" s="7" t="s">
        <v>604</v>
      </c>
      <c r="C25" s="7" t="s">
        <v>554</v>
      </c>
      <c r="D25" s="7" t="s">
        <v>48</v>
      </c>
      <c r="E25" s="7" t="s">
        <v>49</v>
      </c>
      <c r="F25" s="7" t="s">
        <v>555</v>
      </c>
      <c r="G25" s="7" t="s">
        <v>615</v>
      </c>
      <c r="H25" s="7" t="s">
        <v>550</v>
      </c>
      <c r="I25" s="8" t="s">
        <v>4</v>
      </c>
      <c r="J25" s="8"/>
      <c r="K25" s="8"/>
      <c r="L25" s="9"/>
      <c r="M25" s="8"/>
      <c r="N25" s="7" t="s">
        <v>53</v>
      </c>
      <c r="O25" s="7" t="s">
        <v>607</v>
      </c>
      <c r="P25" s="7" t="s">
        <v>55</v>
      </c>
      <c r="Q25" s="7" t="s">
        <v>551</v>
      </c>
      <c r="R25" s="7" t="s">
        <v>552</v>
      </c>
    </row>
    <row r="26" spans="1:18" ht="140.1" customHeight="1">
      <c r="A26" s="6" t="s">
        <v>616</v>
      </c>
      <c r="B26" s="6" t="s">
        <v>604</v>
      </c>
      <c r="C26" s="6" t="s">
        <v>558</v>
      </c>
      <c r="D26" s="6" t="s">
        <v>48</v>
      </c>
      <c r="E26" s="6" t="s">
        <v>49</v>
      </c>
      <c r="F26" s="6" t="s">
        <v>559</v>
      </c>
      <c r="G26" s="6" t="s">
        <v>617</v>
      </c>
      <c r="H26" s="6" t="s">
        <v>550</v>
      </c>
      <c r="I26" s="8" t="s">
        <v>4</v>
      </c>
      <c r="J26" s="8"/>
      <c r="K26" s="8"/>
      <c r="L26" s="9"/>
      <c r="M26" s="8"/>
      <c r="N26" s="6" t="s">
        <v>53</v>
      </c>
      <c r="O26" s="6" t="s">
        <v>607</v>
      </c>
      <c r="P26" s="6" t="s">
        <v>55</v>
      </c>
      <c r="Q26" s="6" t="s">
        <v>551</v>
      </c>
      <c r="R26" s="6" t="s">
        <v>552</v>
      </c>
    </row>
    <row r="27" spans="1:18" ht="140.1" customHeight="1">
      <c r="A27" s="7" t="s">
        <v>618</v>
      </c>
      <c r="B27" s="7" t="s">
        <v>604</v>
      </c>
      <c r="C27" s="7" t="s">
        <v>562</v>
      </c>
      <c r="D27" s="7" t="s">
        <v>48</v>
      </c>
      <c r="E27" s="7" t="s">
        <v>49</v>
      </c>
      <c r="F27" s="7" t="s">
        <v>563</v>
      </c>
      <c r="G27" s="7" t="s">
        <v>619</v>
      </c>
      <c r="H27" s="7" t="s">
        <v>550</v>
      </c>
      <c r="I27" s="8" t="s">
        <v>4</v>
      </c>
      <c r="J27" s="8"/>
      <c r="K27" s="8"/>
      <c r="L27" s="9"/>
      <c r="M27" s="8"/>
      <c r="N27" s="7" t="s">
        <v>53</v>
      </c>
      <c r="O27" s="7" t="s">
        <v>607</v>
      </c>
      <c r="P27" s="7" t="s">
        <v>55</v>
      </c>
      <c r="Q27" s="7" t="s">
        <v>551</v>
      </c>
      <c r="R27" s="7" t="s">
        <v>552</v>
      </c>
    </row>
    <row r="28" spans="1:18" ht="140.1" customHeight="1">
      <c r="A28" s="6" t="s">
        <v>620</v>
      </c>
      <c r="B28" s="6" t="s">
        <v>604</v>
      </c>
      <c r="C28" s="6" t="s">
        <v>566</v>
      </c>
      <c r="D28" s="6" t="s">
        <v>48</v>
      </c>
      <c r="E28" s="6" t="s">
        <v>49</v>
      </c>
      <c r="F28" s="6" t="s">
        <v>567</v>
      </c>
      <c r="G28" s="6" t="s">
        <v>621</v>
      </c>
      <c r="H28" s="6" t="s">
        <v>622</v>
      </c>
      <c r="I28" s="8" t="s">
        <v>4</v>
      </c>
      <c r="J28" s="8"/>
      <c r="K28" s="8"/>
      <c r="L28" s="9"/>
      <c r="M28" s="8"/>
      <c r="N28" s="6" t="s">
        <v>53</v>
      </c>
      <c r="O28" s="6" t="s">
        <v>607</v>
      </c>
      <c r="P28" s="6" t="s">
        <v>55</v>
      </c>
      <c r="Q28" s="6" t="s">
        <v>479</v>
      </c>
      <c r="R28" s="6"/>
    </row>
    <row r="29" spans="1:18" ht="140.1" customHeight="1">
      <c r="A29" s="7" t="s">
        <v>623</v>
      </c>
      <c r="B29" s="7" t="s">
        <v>604</v>
      </c>
      <c r="C29" s="7" t="s">
        <v>571</v>
      </c>
      <c r="D29" s="7" t="s">
        <v>48</v>
      </c>
      <c r="E29" s="7" t="s">
        <v>49</v>
      </c>
      <c r="F29" s="7" t="s">
        <v>572</v>
      </c>
      <c r="G29" s="7" t="s">
        <v>624</v>
      </c>
      <c r="H29" s="7" t="s">
        <v>574</v>
      </c>
      <c r="I29" s="8" t="s">
        <v>4</v>
      </c>
      <c r="J29" s="8"/>
      <c r="K29" s="8"/>
      <c r="L29" s="9"/>
      <c r="M29" s="8"/>
      <c r="N29" s="7" t="s">
        <v>53</v>
      </c>
      <c r="O29" s="7" t="s">
        <v>607</v>
      </c>
      <c r="P29" s="7" t="s">
        <v>55</v>
      </c>
      <c r="Q29" s="7" t="s">
        <v>56</v>
      </c>
      <c r="R29" s="7"/>
    </row>
    <row r="30" spans="1:18" ht="140.1" customHeight="1">
      <c r="A30" s="6" t="s">
        <v>625</v>
      </c>
      <c r="B30" s="6" t="s">
        <v>604</v>
      </c>
      <c r="C30" s="6" t="s">
        <v>576</v>
      </c>
      <c r="D30" s="6" t="s">
        <v>84</v>
      </c>
      <c r="E30" s="6" t="s">
        <v>49</v>
      </c>
      <c r="F30" s="6" t="s">
        <v>577</v>
      </c>
      <c r="G30" s="6" t="s">
        <v>626</v>
      </c>
      <c r="H30" s="6" t="s">
        <v>579</v>
      </c>
      <c r="I30" s="8" t="s">
        <v>4</v>
      </c>
      <c r="J30" s="8"/>
      <c r="K30" s="8"/>
      <c r="L30" s="9"/>
      <c r="M30" s="8"/>
      <c r="N30" s="6" t="s">
        <v>53</v>
      </c>
      <c r="O30" s="6" t="s">
        <v>607</v>
      </c>
      <c r="P30" s="6" t="s">
        <v>55</v>
      </c>
      <c r="Q30" s="6" t="s">
        <v>56</v>
      </c>
      <c r="R30" s="6"/>
    </row>
    <row r="31" spans="1:18" ht="140.1" customHeight="1">
      <c r="A31" s="7" t="s">
        <v>627</v>
      </c>
      <c r="B31" s="7" t="s">
        <v>604</v>
      </c>
      <c r="C31" s="7" t="s">
        <v>581</v>
      </c>
      <c r="D31" s="7" t="s">
        <v>48</v>
      </c>
      <c r="E31" s="7" t="s">
        <v>49</v>
      </c>
      <c r="F31" s="7" t="s">
        <v>582</v>
      </c>
      <c r="G31" s="7" t="s">
        <v>628</v>
      </c>
      <c r="H31" s="7" t="s">
        <v>584</v>
      </c>
      <c r="I31" s="8" t="s">
        <v>4</v>
      </c>
      <c r="J31" s="8"/>
      <c r="K31" s="8"/>
      <c r="L31" s="9"/>
      <c r="M31" s="8"/>
      <c r="N31" s="7" t="s">
        <v>53</v>
      </c>
      <c r="O31" s="7" t="s">
        <v>607</v>
      </c>
      <c r="P31" s="7" t="s">
        <v>55</v>
      </c>
      <c r="Q31" s="7" t="s">
        <v>585</v>
      </c>
      <c r="R31" s="7"/>
    </row>
    <row r="32" spans="1:18" ht="140.1" customHeight="1">
      <c r="A32" s="6" t="s">
        <v>629</v>
      </c>
      <c r="B32" s="6" t="s">
        <v>604</v>
      </c>
      <c r="C32" s="6" t="s">
        <v>587</v>
      </c>
      <c r="D32" s="6" t="s">
        <v>48</v>
      </c>
      <c r="E32" s="6" t="s">
        <v>49</v>
      </c>
      <c r="F32" s="6" t="s">
        <v>588</v>
      </c>
      <c r="G32" s="6" t="s">
        <v>628</v>
      </c>
      <c r="H32" s="6" t="s">
        <v>589</v>
      </c>
      <c r="I32" s="8" t="s">
        <v>4</v>
      </c>
      <c r="J32" s="8"/>
      <c r="K32" s="8"/>
      <c r="L32" s="9"/>
      <c r="M32" s="8"/>
      <c r="N32" s="6" t="s">
        <v>53</v>
      </c>
      <c r="O32" s="6" t="s">
        <v>607</v>
      </c>
      <c r="P32" s="6" t="s">
        <v>55</v>
      </c>
      <c r="Q32" s="6" t="s">
        <v>585</v>
      </c>
      <c r="R32" s="6"/>
    </row>
    <row r="33" spans="1:18" ht="140.1" customHeight="1">
      <c r="A33" s="7" t="s">
        <v>630</v>
      </c>
      <c r="B33" s="7" t="s">
        <v>604</v>
      </c>
      <c r="C33" s="7" t="s">
        <v>591</v>
      </c>
      <c r="D33" s="7" t="s">
        <v>84</v>
      </c>
      <c r="E33" s="7" t="s">
        <v>49</v>
      </c>
      <c r="F33" s="7" t="s">
        <v>535</v>
      </c>
      <c r="G33" s="7" t="s">
        <v>631</v>
      </c>
      <c r="H33" s="7" t="s">
        <v>593</v>
      </c>
      <c r="I33" s="8" t="s">
        <v>4</v>
      </c>
      <c r="J33" s="8"/>
      <c r="K33" s="8"/>
      <c r="L33" s="9"/>
      <c r="M33" s="8"/>
      <c r="N33" s="7" t="s">
        <v>53</v>
      </c>
      <c r="O33" s="7" t="s">
        <v>607</v>
      </c>
      <c r="P33" s="7" t="s">
        <v>63</v>
      </c>
      <c r="Q33" s="7" t="s">
        <v>56</v>
      </c>
      <c r="R33" s="7"/>
    </row>
    <row r="34" spans="1:18" ht="140.1" customHeight="1">
      <c r="A34" s="6" t="s">
        <v>632</v>
      </c>
      <c r="B34" s="6" t="s">
        <v>604</v>
      </c>
      <c r="C34" s="6" t="s">
        <v>633</v>
      </c>
      <c r="D34" s="6" t="s">
        <v>48</v>
      </c>
      <c r="E34" s="6" t="s">
        <v>49</v>
      </c>
      <c r="F34" s="6" t="s">
        <v>535</v>
      </c>
      <c r="G34" s="6" t="s">
        <v>634</v>
      </c>
      <c r="H34" s="6" t="s">
        <v>635</v>
      </c>
      <c r="I34" s="8" t="s">
        <v>4</v>
      </c>
      <c r="J34" s="8"/>
      <c r="K34" s="8"/>
      <c r="L34" s="9"/>
      <c r="M34" s="8"/>
      <c r="N34" s="6" t="s">
        <v>53</v>
      </c>
      <c r="O34" s="6" t="s">
        <v>607</v>
      </c>
      <c r="P34" s="6" t="s">
        <v>55</v>
      </c>
      <c r="Q34" s="6" t="s">
        <v>56</v>
      </c>
      <c r="R34" s="6"/>
    </row>
    <row r="35" spans="1:18" ht="140.1" customHeight="1">
      <c r="A35" s="7" t="s">
        <v>636</v>
      </c>
      <c r="B35" s="7" t="s">
        <v>604</v>
      </c>
      <c r="C35" s="7" t="s">
        <v>637</v>
      </c>
      <c r="D35" s="7" t="s">
        <v>48</v>
      </c>
      <c r="E35" s="7" t="s">
        <v>49</v>
      </c>
      <c r="F35" s="7" t="s">
        <v>535</v>
      </c>
      <c r="G35" s="7" t="s">
        <v>638</v>
      </c>
      <c r="H35" s="7" t="s">
        <v>639</v>
      </c>
      <c r="I35" s="8" t="s">
        <v>4</v>
      </c>
      <c r="J35" s="8"/>
      <c r="K35" s="8"/>
      <c r="L35" s="9"/>
      <c r="M35" s="8"/>
      <c r="N35" s="7" t="s">
        <v>53</v>
      </c>
      <c r="O35" s="7" t="s">
        <v>607</v>
      </c>
      <c r="P35" s="7" t="s">
        <v>55</v>
      </c>
      <c r="Q35" s="7" t="s">
        <v>56</v>
      </c>
      <c r="R35" s="7" t="s">
        <v>640</v>
      </c>
    </row>
    <row r="36" spans="1:18" ht="140.1" customHeight="1">
      <c r="A36" s="6" t="s">
        <v>641</v>
      </c>
      <c r="B36" s="6" t="s">
        <v>604</v>
      </c>
      <c r="C36" s="6" t="s">
        <v>600</v>
      </c>
      <c r="D36" s="6" t="s">
        <v>84</v>
      </c>
      <c r="E36" s="6" t="s">
        <v>49</v>
      </c>
      <c r="F36" s="6" t="s">
        <v>535</v>
      </c>
      <c r="G36" s="6" t="s">
        <v>642</v>
      </c>
      <c r="H36" s="6" t="s">
        <v>602</v>
      </c>
      <c r="I36" s="8" t="s">
        <v>4</v>
      </c>
      <c r="J36" s="8"/>
      <c r="K36" s="8"/>
      <c r="L36" s="9"/>
      <c r="M36" s="8"/>
      <c r="N36" s="6" t="s">
        <v>53</v>
      </c>
      <c r="O36" s="6" t="s">
        <v>607</v>
      </c>
      <c r="P36" s="6" t="s">
        <v>55</v>
      </c>
      <c r="Q36" s="6" t="s">
        <v>56</v>
      </c>
      <c r="R36" s="6"/>
    </row>
    <row r="37" spans="1:18" ht="140.1" customHeight="1">
      <c r="A37" s="7" t="s">
        <v>643</v>
      </c>
      <c r="B37" s="7" t="s">
        <v>644</v>
      </c>
      <c r="C37" s="7" t="s">
        <v>534</v>
      </c>
      <c r="D37" s="7" t="s">
        <v>48</v>
      </c>
      <c r="E37" s="7" t="s">
        <v>49</v>
      </c>
      <c r="F37" s="7" t="s">
        <v>535</v>
      </c>
      <c r="G37" s="7" t="s">
        <v>645</v>
      </c>
      <c r="H37" s="7" t="s">
        <v>606</v>
      </c>
      <c r="I37" s="8" t="s">
        <v>4</v>
      </c>
      <c r="J37" s="8"/>
      <c r="K37" s="8"/>
      <c r="L37" s="9"/>
      <c r="M37" s="8"/>
      <c r="N37" s="7" t="s">
        <v>53</v>
      </c>
      <c r="O37" s="7" t="s">
        <v>646</v>
      </c>
      <c r="P37" s="7" t="s">
        <v>55</v>
      </c>
      <c r="Q37" s="7" t="s">
        <v>539</v>
      </c>
      <c r="R37" s="7"/>
    </row>
    <row r="38" spans="1:18" ht="140.1" customHeight="1">
      <c r="A38" s="6" t="s">
        <v>647</v>
      </c>
      <c r="B38" s="6" t="s">
        <v>644</v>
      </c>
      <c r="C38" s="6" t="s">
        <v>541</v>
      </c>
      <c r="D38" s="6" t="s">
        <v>48</v>
      </c>
      <c r="E38" s="6" t="s">
        <v>49</v>
      </c>
      <c r="F38" s="6" t="s">
        <v>535</v>
      </c>
      <c r="G38" s="6" t="s">
        <v>648</v>
      </c>
      <c r="H38" s="6" t="s">
        <v>606</v>
      </c>
      <c r="I38" s="8" t="s">
        <v>4</v>
      </c>
      <c r="J38" s="8"/>
      <c r="K38" s="8"/>
      <c r="L38" s="9"/>
      <c r="M38" s="8"/>
      <c r="N38" s="6" t="s">
        <v>53</v>
      </c>
      <c r="O38" s="6" t="s">
        <v>646</v>
      </c>
      <c r="P38" s="6" t="s">
        <v>55</v>
      </c>
      <c r="Q38" s="6" t="s">
        <v>539</v>
      </c>
      <c r="R38" s="6"/>
    </row>
    <row r="39" spans="1:18" ht="140.1" customHeight="1">
      <c r="A39" s="7" t="s">
        <v>649</v>
      </c>
      <c r="B39" s="7" t="s">
        <v>644</v>
      </c>
      <c r="C39" s="7" t="s">
        <v>544</v>
      </c>
      <c r="D39" s="7" t="s">
        <v>48</v>
      </c>
      <c r="E39" s="7" t="s">
        <v>49</v>
      </c>
      <c r="F39" s="7" t="s">
        <v>535</v>
      </c>
      <c r="G39" s="7" t="s">
        <v>650</v>
      </c>
      <c r="H39" s="7" t="s">
        <v>606</v>
      </c>
      <c r="I39" s="8" t="s">
        <v>4</v>
      </c>
      <c r="J39" s="8"/>
      <c r="K39" s="8"/>
      <c r="L39" s="9"/>
      <c r="M39" s="8"/>
      <c r="N39" s="7" t="s">
        <v>53</v>
      </c>
      <c r="O39" s="7" t="s">
        <v>646</v>
      </c>
      <c r="P39" s="7" t="s">
        <v>55</v>
      </c>
      <c r="Q39" s="7" t="s">
        <v>539</v>
      </c>
      <c r="R39" s="7"/>
    </row>
    <row r="40" spans="1:18" ht="140.1" customHeight="1">
      <c r="A40" s="6" t="s">
        <v>651</v>
      </c>
      <c r="B40" s="6" t="s">
        <v>644</v>
      </c>
      <c r="C40" s="6" t="s">
        <v>547</v>
      </c>
      <c r="D40" s="6" t="s">
        <v>48</v>
      </c>
      <c r="E40" s="6" t="s">
        <v>49</v>
      </c>
      <c r="F40" s="6" t="s">
        <v>548</v>
      </c>
      <c r="G40" s="6" t="s">
        <v>652</v>
      </c>
      <c r="H40" s="6" t="s">
        <v>550</v>
      </c>
      <c r="I40" s="8" t="s">
        <v>4</v>
      </c>
      <c r="J40" s="8"/>
      <c r="K40" s="8"/>
      <c r="L40" s="9"/>
      <c r="M40" s="8"/>
      <c r="N40" s="6" t="s">
        <v>53</v>
      </c>
      <c r="O40" s="6" t="s">
        <v>646</v>
      </c>
      <c r="P40" s="6" t="s">
        <v>55</v>
      </c>
      <c r="Q40" s="6" t="s">
        <v>551</v>
      </c>
      <c r="R40" s="6" t="s">
        <v>552</v>
      </c>
    </row>
    <row r="41" spans="1:18" ht="140.1" customHeight="1">
      <c r="A41" s="7" t="s">
        <v>653</v>
      </c>
      <c r="B41" s="7" t="s">
        <v>644</v>
      </c>
      <c r="C41" s="7" t="s">
        <v>554</v>
      </c>
      <c r="D41" s="7" t="s">
        <v>48</v>
      </c>
      <c r="E41" s="7" t="s">
        <v>49</v>
      </c>
      <c r="F41" s="7" t="s">
        <v>555</v>
      </c>
      <c r="G41" s="7" t="s">
        <v>654</v>
      </c>
      <c r="H41" s="7" t="s">
        <v>550</v>
      </c>
      <c r="I41" s="8" t="s">
        <v>4</v>
      </c>
      <c r="J41" s="8"/>
      <c r="K41" s="8"/>
      <c r="L41" s="9"/>
      <c r="M41" s="8"/>
      <c r="N41" s="7" t="s">
        <v>53</v>
      </c>
      <c r="O41" s="7" t="s">
        <v>646</v>
      </c>
      <c r="P41" s="7" t="s">
        <v>55</v>
      </c>
      <c r="Q41" s="7" t="s">
        <v>551</v>
      </c>
      <c r="R41" s="7" t="s">
        <v>552</v>
      </c>
    </row>
    <row r="42" spans="1:18" ht="140.1" customHeight="1">
      <c r="A42" s="6" t="s">
        <v>655</v>
      </c>
      <c r="B42" s="6" t="s">
        <v>644</v>
      </c>
      <c r="C42" s="6" t="s">
        <v>558</v>
      </c>
      <c r="D42" s="6" t="s">
        <v>48</v>
      </c>
      <c r="E42" s="6" t="s">
        <v>49</v>
      </c>
      <c r="F42" s="6" t="s">
        <v>559</v>
      </c>
      <c r="G42" s="6" t="s">
        <v>656</v>
      </c>
      <c r="H42" s="6" t="s">
        <v>550</v>
      </c>
      <c r="I42" s="8" t="s">
        <v>4</v>
      </c>
      <c r="J42" s="8"/>
      <c r="K42" s="8"/>
      <c r="L42" s="9"/>
      <c r="M42" s="8"/>
      <c r="N42" s="6" t="s">
        <v>53</v>
      </c>
      <c r="O42" s="6" t="s">
        <v>646</v>
      </c>
      <c r="P42" s="6" t="s">
        <v>55</v>
      </c>
      <c r="Q42" s="6" t="s">
        <v>551</v>
      </c>
      <c r="R42" s="6" t="s">
        <v>552</v>
      </c>
    </row>
    <row r="43" spans="1:18" ht="140.1" customHeight="1">
      <c r="A43" s="7" t="s">
        <v>657</v>
      </c>
      <c r="B43" s="7" t="s">
        <v>644</v>
      </c>
      <c r="C43" s="7" t="s">
        <v>562</v>
      </c>
      <c r="D43" s="7" t="s">
        <v>48</v>
      </c>
      <c r="E43" s="7" t="s">
        <v>49</v>
      </c>
      <c r="F43" s="7" t="s">
        <v>563</v>
      </c>
      <c r="G43" s="7" t="s">
        <v>658</v>
      </c>
      <c r="H43" s="7" t="s">
        <v>550</v>
      </c>
      <c r="I43" s="8" t="s">
        <v>4</v>
      </c>
      <c r="J43" s="8"/>
      <c r="K43" s="8"/>
      <c r="L43" s="9"/>
      <c r="M43" s="8"/>
      <c r="N43" s="7" t="s">
        <v>53</v>
      </c>
      <c r="O43" s="7" t="s">
        <v>646</v>
      </c>
      <c r="P43" s="7" t="s">
        <v>55</v>
      </c>
      <c r="Q43" s="7" t="s">
        <v>551</v>
      </c>
      <c r="R43" s="7" t="s">
        <v>552</v>
      </c>
    </row>
    <row r="44" spans="1:18" ht="140.1" customHeight="1">
      <c r="A44" s="6" t="s">
        <v>659</v>
      </c>
      <c r="B44" s="6" t="s">
        <v>644</v>
      </c>
      <c r="C44" s="6" t="s">
        <v>566</v>
      </c>
      <c r="D44" s="6" t="s">
        <v>48</v>
      </c>
      <c r="E44" s="6" t="s">
        <v>49</v>
      </c>
      <c r="F44" s="6" t="s">
        <v>567</v>
      </c>
      <c r="G44" s="6" t="s">
        <v>660</v>
      </c>
      <c r="H44" s="6" t="s">
        <v>622</v>
      </c>
      <c r="I44" s="8" t="s">
        <v>4</v>
      </c>
      <c r="J44" s="8"/>
      <c r="K44" s="8"/>
      <c r="L44" s="9"/>
      <c r="M44" s="8"/>
      <c r="N44" s="6" t="s">
        <v>53</v>
      </c>
      <c r="O44" s="6" t="s">
        <v>646</v>
      </c>
      <c r="P44" s="6" t="s">
        <v>55</v>
      </c>
      <c r="Q44" s="6" t="s">
        <v>479</v>
      </c>
      <c r="R44" s="6"/>
    </row>
    <row r="45" spans="1:18" ht="140.1" customHeight="1">
      <c r="A45" s="7" t="s">
        <v>661</v>
      </c>
      <c r="B45" s="7" t="s">
        <v>644</v>
      </c>
      <c r="C45" s="7" t="s">
        <v>571</v>
      </c>
      <c r="D45" s="7" t="s">
        <v>48</v>
      </c>
      <c r="E45" s="7" t="s">
        <v>49</v>
      </c>
      <c r="F45" s="7" t="s">
        <v>572</v>
      </c>
      <c r="G45" s="7" t="s">
        <v>662</v>
      </c>
      <c r="H45" s="7" t="s">
        <v>574</v>
      </c>
      <c r="I45" s="8" t="s">
        <v>4</v>
      </c>
      <c r="J45" s="8"/>
      <c r="K45" s="8"/>
      <c r="L45" s="9"/>
      <c r="M45" s="8"/>
      <c r="N45" s="7" t="s">
        <v>53</v>
      </c>
      <c r="O45" s="7" t="s">
        <v>646</v>
      </c>
      <c r="P45" s="7" t="s">
        <v>55</v>
      </c>
      <c r="Q45" s="7" t="s">
        <v>56</v>
      </c>
      <c r="R45" s="7"/>
    </row>
    <row r="46" spans="1:18" ht="140.1" customHeight="1">
      <c r="A46" s="6" t="s">
        <v>663</v>
      </c>
      <c r="B46" s="6" t="s">
        <v>644</v>
      </c>
      <c r="C46" s="6" t="s">
        <v>576</v>
      </c>
      <c r="D46" s="6" t="s">
        <v>84</v>
      </c>
      <c r="E46" s="6" t="s">
        <v>49</v>
      </c>
      <c r="F46" s="6" t="s">
        <v>577</v>
      </c>
      <c r="G46" s="6" t="s">
        <v>664</v>
      </c>
      <c r="H46" s="6" t="s">
        <v>579</v>
      </c>
      <c r="I46" s="8" t="s">
        <v>4</v>
      </c>
      <c r="J46" s="8"/>
      <c r="K46" s="8"/>
      <c r="L46" s="9"/>
      <c r="M46" s="8"/>
      <c r="N46" s="6" t="s">
        <v>53</v>
      </c>
      <c r="O46" s="6" t="s">
        <v>646</v>
      </c>
      <c r="P46" s="6" t="s">
        <v>55</v>
      </c>
      <c r="Q46" s="6" t="s">
        <v>56</v>
      </c>
      <c r="R46" s="6"/>
    </row>
    <row r="47" spans="1:18" ht="140.1" customHeight="1">
      <c r="A47" s="7" t="s">
        <v>665</v>
      </c>
      <c r="B47" s="7" t="s">
        <v>644</v>
      </c>
      <c r="C47" s="7" t="s">
        <v>581</v>
      </c>
      <c r="D47" s="7" t="s">
        <v>48</v>
      </c>
      <c r="E47" s="7" t="s">
        <v>49</v>
      </c>
      <c r="F47" s="7" t="s">
        <v>582</v>
      </c>
      <c r="G47" s="7" t="s">
        <v>666</v>
      </c>
      <c r="H47" s="7" t="s">
        <v>584</v>
      </c>
      <c r="I47" s="8" t="s">
        <v>4</v>
      </c>
      <c r="J47" s="8"/>
      <c r="K47" s="8"/>
      <c r="L47" s="9"/>
      <c r="M47" s="8"/>
      <c r="N47" s="7" t="s">
        <v>53</v>
      </c>
      <c r="O47" s="7" t="s">
        <v>646</v>
      </c>
      <c r="P47" s="7" t="s">
        <v>55</v>
      </c>
      <c r="Q47" s="7" t="s">
        <v>585</v>
      </c>
      <c r="R47" s="7"/>
    </row>
    <row r="48" spans="1:18" ht="140.1" customHeight="1">
      <c r="A48" s="6" t="s">
        <v>667</v>
      </c>
      <c r="B48" s="6" t="s">
        <v>644</v>
      </c>
      <c r="C48" s="6" t="s">
        <v>587</v>
      </c>
      <c r="D48" s="6" t="s">
        <v>48</v>
      </c>
      <c r="E48" s="6" t="s">
        <v>49</v>
      </c>
      <c r="F48" s="6" t="s">
        <v>588</v>
      </c>
      <c r="G48" s="6" t="s">
        <v>666</v>
      </c>
      <c r="H48" s="6" t="s">
        <v>589</v>
      </c>
      <c r="I48" s="8" t="s">
        <v>4</v>
      </c>
      <c r="J48" s="8"/>
      <c r="K48" s="8"/>
      <c r="L48" s="9"/>
      <c r="M48" s="8"/>
      <c r="N48" s="6" t="s">
        <v>53</v>
      </c>
      <c r="O48" s="6" t="s">
        <v>646</v>
      </c>
      <c r="P48" s="6" t="s">
        <v>55</v>
      </c>
      <c r="Q48" s="6" t="s">
        <v>585</v>
      </c>
      <c r="R48" s="6"/>
    </row>
    <row r="49" spans="1:18" ht="140.1" customHeight="1">
      <c r="A49" s="7" t="s">
        <v>668</v>
      </c>
      <c r="B49" s="7" t="s">
        <v>644</v>
      </c>
      <c r="C49" s="7" t="s">
        <v>591</v>
      </c>
      <c r="D49" s="7" t="s">
        <v>84</v>
      </c>
      <c r="E49" s="7" t="s">
        <v>49</v>
      </c>
      <c r="F49" s="7" t="s">
        <v>535</v>
      </c>
      <c r="G49" s="7" t="s">
        <v>669</v>
      </c>
      <c r="H49" s="7" t="s">
        <v>593</v>
      </c>
      <c r="I49" s="8" t="s">
        <v>4</v>
      </c>
      <c r="J49" s="8"/>
      <c r="K49" s="8"/>
      <c r="L49" s="9"/>
      <c r="M49" s="8"/>
      <c r="N49" s="7" t="s">
        <v>53</v>
      </c>
      <c r="O49" s="7" t="s">
        <v>646</v>
      </c>
      <c r="P49" s="7" t="s">
        <v>55</v>
      </c>
      <c r="Q49" s="7" t="s">
        <v>56</v>
      </c>
      <c r="R49" s="7"/>
    </row>
    <row r="50" spans="1:18" ht="140.1" customHeight="1">
      <c r="A50" s="6" t="s">
        <v>670</v>
      </c>
      <c r="B50" s="6" t="s">
        <v>644</v>
      </c>
      <c r="C50" s="6" t="s">
        <v>633</v>
      </c>
      <c r="D50" s="6" t="s">
        <v>48</v>
      </c>
      <c r="E50" s="6" t="s">
        <v>49</v>
      </c>
      <c r="F50" s="6" t="s">
        <v>535</v>
      </c>
      <c r="G50" s="6" t="s">
        <v>671</v>
      </c>
      <c r="H50" s="6" t="s">
        <v>635</v>
      </c>
      <c r="I50" s="8" t="s">
        <v>4</v>
      </c>
      <c r="J50" s="8"/>
      <c r="K50" s="8"/>
      <c r="L50" s="9"/>
      <c r="M50" s="8"/>
      <c r="N50" s="6" t="s">
        <v>53</v>
      </c>
      <c r="O50" s="6" t="s">
        <v>646</v>
      </c>
      <c r="P50" s="6" t="s">
        <v>55</v>
      </c>
      <c r="Q50" s="6" t="s">
        <v>56</v>
      </c>
      <c r="R50" s="6"/>
    </row>
    <row r="51" spans="1:18" ht="140.1" customHeight="1">
      <c r="A51" s="7" t="s">
        <v>672</v>
      </c>
      <c r="B51" s="7" t="s">
        <v>644</v>
      </c>
      <c r="C51" s="7" t="s">
        <v>637</v>
      </c>
      <c r="D51" s="7" t="s">
        <v>48</v>
      </c>
      <c r="E51" s="7" t="s">
        <v>49</v>
      </c>
      <c r="F51" s="7" t="s">
        <v>535</v>
      </c>
      <c r="G51" s="7" t="s">
        <v>673</v>
      </c>
      <c r="H51" s="7" t="s">
        <v>639</v>
      </c>
      <c r="I51" s="8" t="s">
        <v>4</v>
      </c>
      <c r="J51" s="8"/>
      <c r="K51" s="8"/>
      <c r="L51" s="9"/>
      <c r="M51" s="8"/>
      <c r="N51" s="7" t="s">
        <v>53</v>
      </c>
      <c r="O51" s="7" t="s">
        <v>646</v>
      </c>
      <c r="P51" s="7" t="s">
        <v>55</v>
      </c>
      <c r="Q51" s="7" t="s">
        <v>56</v>
      </c>
      <c r="R51" s="7" t="s">
        <v>640</v>
      </c>
    </row>
    <row r="52" spans="1:18" ht="140.1" customHeight="1">
      <c r="A52" s="6" t="s">
        <v>674</v>
      </c>
      <c r="B52" s="6" t="s">
        <v>644</v>
      </c>
      <c r="C52" s="6" t="s">
        <v>600</v>
      </c>
      <c r="D52" s="6" t="s">
        <v>84</v>
      </c>
      <c r="E52" s="6" t="s">
        <v>49</v>
      </c>
      <c r="F52" s="6" t="s">
        <v>535</v>
      </c>
      <c r="G52" s="6" t="s">
        <v>675</v>
      </c>
      <c r="H52" s="6" t="s">
        <v>602</v>
      </c>
      <c r="I52" s="8" t="s">
        <v>4</v>
      </c>
      <c r="J52" s="8"/>
      <c r="K52" s="8"/>
      <c r="L52" s="9"/>
      <c r="M52" s="8"/>
      <c r="N52" s="6" t="s">
        <v>53</v>
      </c>
      <c r="O52" s="6" t="s">
        <v>646</v>
      </c>
      <c r="P52" s="6" t="s">
        <v>55</v>
      </c>
      <c r="Q52" s="6" t="s">
        <v>56</v>
      </c>
      <c r="R52" s="6"/>
    </row>
    <row r="53" spans="1:18" ht="140.1" customHeight="1">
      <c r="A53" s="7" t="s">
        <v>676</v>
      </c>
      <c r="B53" s="7" t="s">
        <v>677</v>
      </c>
      <c r="C53" s="7" t="s">
        <v>534</v>
      </c>
      <c r="D53" s="7" t="s">
        <v>48</v>
      </c>
      <c r="E53" s="7" t="s">
        <v>49</v>
      </c>
      <c r="F53" s="7" t="s">
        <v>535</v>
      </c>
      <c r="G53" s="7" t="s">
        <v>678</v>
      </c>
      <c r="H53" s="7" t="s">
        <v>679</v>
      </c>
      <c r="I53" s="8" t="s">
        <v>4</v>
      </c>
      <c r="J53" s="8"/>
      <c r="K53" s="8"/>
      <c r="L53" s="9"/>
      <c r="M53" s="8"/>
      <c r="N53" s="7" t="s">
        <v>53</v>
      </c>
      <c r="O53" s="7" t="s">
        <v>680</v>
      </c>
      <c r="P53" s="7" t="s">
        <v>55</v>
      </c>
      <c r="Q53" s="7" t="s">
        <v>539</v>
      </c>
      <c r="R53" s="7"/>
    </row>
    <row r="54" spans="1:18" ht="140.1" customHeight="1">
      <c r="A54" s="6" t="s">
        <v>681</v>
      </c>
      <c r="B54" s="6" t="s">
        <v>677</v>
      </c>
      <c r="C54" s="6" t="s">
        <v>541</v>
      </c>
      <c r="D54" s="6" t="s">
        <v>48</v>
      </c>
      <c r="E54" s="6" t="s">
        <v>49</v>
      </c>
      <c r="F54" s="6" t="s">
        <v>535</v>
      </c>
      <c r="G54" s="6" t="s">
        <v>682</v>
      </c>
      <c r="H54" s="6" t="s">
        <v>679</v>
      </c>
      <c r="I54" s="8" t="s">
        <v>4</v>
      </c>
      <c r="J54" s="8"/>
      <c r="K54" s="8"/>
      <c r="L54" s="9"/>
      <c r="M54" s="8"/>
      <c r="N54" s="6" t="s">
        <v>53</v>
      </c>
      <c r="O54" s="6" t="s">
        <v>680</v>
      </c>
      <c r="P54" s="6" t="s">
        <v>55</v>
      </c>
      <c r="Q54" s="6" t="s">
        <v>539</v>
      </c>
      <c r="R54" s="6"/>
    </row>
    <row r="55" spans="1:18" ht="140.1" customHeight="1">
      <c r="A55" s="7" t="s">
        <v>683</v>
      </c>
      <c r="B55" s="7" t="s">
        <v>677</v>
      </c>
      <c r="C55" s="7" t="s">
        <v>544</v>
      </c>
      <c r="D55" s="7" t="s">
        <v>48</v>
      </c>
      <c r="E55" s="7" t="s">
        <v>49</v>
      </c>
      <c r="F55" s="7" t="s">
        <v>535</v>
      </c>
      <c r="G55" s="7" t="s">
        <v>684</v>
      </c>
      <c r="H55" s="7" t="s">
        <v>679</v>
      </c>
      <c r="I55" s="8" t="s">
        <v>4</v>
      </c>
      <c r="J55" s="8"/>
      <c r="K55" s="8"/>
      <c r="L55" s="9"/>
      <c r="M55" s="8"/>
      <c r="N55" s="7" t="s">
        <v>53</v>
      </c>
      <c r="O55" s="7" t="s">
        <v>680</v>
      </c>
      <c r="P55" s="7" t="s">
        <v>55</v>
      </c>
      <c r="Q55" s="7" t="s">
        <v>539</v>
      </c>
      <c r="R55" s="7"/>
    </row>
    <row r="56" spans="1:18" ht="140.1" customHeight="1">
      <c r="A56" s="6" t="s">
        <v>685</v>
      </c>
      <c r="B56" s="6" t="s">
        <v>677</v>
      </c>
      <c r="C56" s="6" t="s">
        <v>547</v>
      </c>
      <c r="D56" s="6" t="s">
        <v>48</v>
      </c>
      <c r="E56" s="6" t="s">
        <v>49</v>
      </c>
      <c r="F56" s="6" t="s">
        <v>548</v>
      </c>
      <c r="G56" s="6" t="s">
        <v>686</v>
      </c>
      <c r="H56" s="6" t="s">
        <v>550</v>
      </c>
      <c r="I56" s="8" t="s">
        <v>4</v>
      </c>
      <c r="J56" s="8"/>
      <c r="K56" s="8"/>
      <c r="L56" s="9"/>
      <c r="M56" s="8"/>
      <c r="N56" s="6" t="s">
        <v>53</v>
      </c>
      <c r="O56" s="6" t="s">
        <v>680</v>
      </c>
      <c r="P56" s="6" t="s">
        <v>55</v>
      </c>
      <c r="Q56" s="6" t="s">
        <v>551</v>
      </c>
      <c r="R56" s="6" t="s">
        <v>552</v>
      </c>
    </row>
    <row r="57" spans="1:18" ht="140.1" customHeight="1">
      <c r="A57" s="7" t="s">
        <v>687</v>
      </c>
      <c r="B57" s="7" t="s">
        <v>677</v>
      </c>
      <c r="C57" s="7" t="s">
        <v>554</v>
      </c>
      <c r="D57" s="7" t="s">
        <v>48</v>
      </c>
      <c r="E57" s="7" t="s">
        <v>49</v>
      </c>
      <c r="F57" s="7" t="s">
        <v>555</v>
      </c>
      <c r="G57" s="7" t="s">
        <v>688</v>
      </c>
      <c r="H57" s="7" t="s">
        <v>550</v>
      </c>
      <c r="I57" s="8" t="s">
        <v>4</v>
      </c>
      <c r="J57" s="8"/>
      <c r="K57" s="8"/>
      <c r="L57" s="9"/>
      <c r="M57" s="8"/>
      <c r="N57" s="7" t="s">
        <v>53</v>
      </c>
      <c r="O57" s="7" t="s">
        <v>680</v>
      </c>
      <c r="P57" s="7" t="s">
        <v>55</v>
      </c>
      <c r="Q57" s="7" t="s">
        <v>551</v>
      </c>
      <c r="R57" s="7" t="s">
        <v>552</v>
      </c>
    </row>
    <row r="58" spans="1:18" ht="140.1" customHeight="1">
      <c r="A58" s="6" t="s">
        <v>689</v>
      </c>
      <c r="B58" s="6" t="s">
        <v>677</v>
      </c>
      <c r="C58" s="6" t="s">
        <v>558</v>
      </c>
      <c r="D58" s="6" t="s">
        <v>48</v>
      </c>
      <c r="E58" s="6" t="s">
        <v>49</v>
      </c>
      <c r="F58" s="6" t="s">
        <v>559</v>
      </c>
      <c r="G58" s="6" t="s">
        <v>690</v>
      </c>
      <c r="H58" s="6" t="s">
        <v>550</v>
      </c>
      <c r="I58" s="8" t="s">
        <v>4</v>
      </c>
      <c r="J58" s="8"/>
      <c r="K58" s="8"/>
      <c r="L58" s="9"/>
      <c r="M58" s="8"/>
      <c r="N58" s="6" t="s">
        <v>53</v>
      </c>
      <c r="O58" s="6" t="s">
        <v>680</v>
      </c>
      <c r="P58" s="6" t="s">
        <v>55</v>
      </c>
      <c r="Q58" s="6" t="s">
        <v>551</v>
      </c>
      <c r="R58" s="6" t="s">
        <v>552</v>
      </c>
    </row>
    <row r="59" spans="1:18" ht="140.1" customHeight="1">
      <c r="A59" s="7" t="s">
        <v>691</v>
      </c>
      <c r="B59" s="7" t="s">
        <v>677</v>
      </c>
      <c r="C59" s="7" t="s">
        <v>562</v>
      </c>
      <c r="D59" s="7" t="s">
        <v>48</v>
      </c>
      <c r="E59" s="7" t="s">
        <v>49</v>
      </c>
      <c r="F59" s="7" t="s">
        <v>563</v>
      </c>
      <c r="G59" s="7" t="s">
        <v>692</v>
      </c>
      <c r="H59" s="7" t="s">
        <v>550</v>
      </c>
      <c r="I59" s="8" t="s">
        <v>4</v>
      </c>
      <c r="J59" s="8"/>
      <c r="K59" s="8"/>
      <c r="L59" s="9"/>
      <c r="M59" s="8"/>
      <c r="N59" s="7" t="s">
        <v>53</v>
      </c>
      <c r="O59" s="7" t="s">
        <v>680</v>
      </c>
      <c r="P59" s="7" t="s">
        <v>55</v>
      </c>
      <c r="Q59" s="7" t="s">
        <v>551</v>
      </c>
      <c r="R59" s="7" t="s">
        <v>552</v>
      </c>
    </row>
    <row r="60" spans="1:18" ht="140.1" customHeight="1">
      <c r="A60" s="6" t="s">
        <v>693</v>
      </c>
      <c r="B60" s="6" t="s">
        <v>677</v>
      </c>
      <c r="C60" s="6" t="s">
        <v>566</v>
      </c>
      <c r="D60" s="6" t="s">
        <v>48</v>
      </c>
      <c r="E60" s="6" t="s">
        <v>49</v>
      </c>
      <c r="F60" s="6" t="s">
        <v>567</v>
      </c>
      <c r="G60" s="6" t="s">
        <v>694</v>
      </c>
      <c r="H60" s="6" t="s">
        <v>695</v>
      </c>
      <c r="I60" s="8" t="s">
        <v>4</v>
      </c>
      <c r="J60" s="8"/>
      <c r="K60" s="8"/>
      <c r="L60" s="9"/>
      <c r="M60" s="8"/>
      <c r="N60" s="6" t="s">
        <v>53</v>
      </c>
      <c r="O60" s="6" t="s">
        <v>680</v>
      </c>
      <c r="P60" s="6" t="s">
        <v>55</v>
      </c>
      <c r="Q60" s="6" t="s">
        <v>479</v>
      </c>
      <c r="R60" s="6"/>
    </row>
    <row r="61" spans="1:18" ht="140.1" customHeight="1">
      <c r="A61" s="7" t="s">
        <v>696</v>
      </c>
      <c r="B61" s="7" t="s">
        <v>677</v>
      </c>
      <c r="C61" s="7" t="s">
        <v>571</v>
      </c>
      <c r="D61" s="7" t="s">
        <v>48</v>
      </c>
      <c r="E61" s="7" t="s">
        <v>49</v>
      </c>
      <c r="F61" s="7" t="s">
        <v>572</v>
      </c>
      <c r="G61" s="7" t="s">
        <v>697</v>
      </c>
      <c r="H61" s="7" t="s">
        <v>574</v>
      </c>
      <c r="I61" s="8" t="s">
        <v>4</v>
      </c>
      <c r="J61" s="8"/>
      <c r="K61" s="8"/>
      <c r="L61" s="9"/>
      <c r="M61" s="8"/>
      <c r="N61" s="7" t="s">
        <v>53</v>
      </c>
      <c r="O61" s="7" t="s">
        <v>680</v>
      </c>
      <c r="P61" s="7" t="s">
        <v>55</v>
      </c>
      <c r="Q61" s="7" t="s">
        <v>56</v>
      </c>
      <c r="R61" s="7"/>
    </row>
    <row r="62" spans="1:18" ht="140.1" customHeight="1">
      <c r="A62" s="6" t="s">
        <v>698</v>
      </c>
      <c r="B62" s="6" t="s">
        <v>677</v>
      </c>
      <c r="C62" s="6" t="s">
        <v>576</v>
      </c>
      <c r="D62" s="6" t="s">
        <v>84</v>
      </c>
      <c r="E62" s="6" t="s">
        <v>49</v>
      </c>
      <c r="F62" s="6" t="s">
        <v>577</v>
      </c>
      <c r="G62" s="6" t="s">
        <v>699</v>
      </c>
      <c r="H62" s="6" t="s">
        <v>579</v>
      </c>
      <c r="I62" s="8" t="s">
        <v>4</v>
      </c>
      <c r="J62" s="8"/>
      <c r="K62" s="8"/>
      <c r="L62" s="9"/>
      <c r="M62" s="8"/>
      <c r="N62" s="6" t="s">
        <v>53</v>
      </c>
      <c r="O62" s="6" t="s">
        <v>680</v>
      </c>
      <c r="P62" s="6" t="s">
        <v>55</v>
      </c>
      <c r="Q62" s="6" t="s">
        <v>56</v>
      </c>
      <c r="R62" s="6"/>
    </row>
    <row r="63" spans="1:18" ht="140.1" customHeight="1">
      <c r="A63" s="7" t="s">
        <v>700</v>
      </c>
      <c r="B63" s="7" t="s">
        <v>677</v>
      </c>
      <c r="C63" s="7" t="s">
        <v>581</v>
      </c>
      <c r="D63" s="7" t="s">
        <v>48</v>
      </c>
      <c r="E63" s="7" t="s">
        <v>49</v>
      </c>
      <c r="F63" s="7" t="s">
        <v>582</v>
      </c>
      <c r="G63" s="7" t="s">
        <v>701</v>
      </c>
      <c r="H63" s="7" t="s">
        <v>584</v>
      </c>
      <c r="I63" s="8" t="s">
        <v>4</v>
      </c>
      <c r="J63" s="8"/>
      <c r="K63" s="8"/>
      <c r="L63" s="9"/>
      <c r="M63" s="8"/>
      <c r="N63" s="7" t="s">
        <v>53</v>
      </c>
      <c r="O63" s="7" t="s">
        <v>680</v>
      </c>
      <c r="P63" s="7" t="s">
        <v>55</v>
      </c>
      <c r="Q63" s="7" t="s">
        <v>585</v>
      </c>
      <c r="R63" s="7"/>
    </row>
    <row r="64" spans="1:18" ht="140.1" customHeight="1">
      <c r="A64" s="6" t="s">
        <v>702</v>
      </c>
      <c r="B64" s="6" t="s">
        <v>677</v>
      </c>
      <c r="C64" s="6" t="s">
        <v>587</v>
      </c>
      <c r="D64" s="6" t="s">
        <v>48</v>
      </c>
      <c r="E64" s="6" t="s">
        <v>49</v>
      </c>
      <c r="F64" s="6" t="s">
        <v>588</v>
      </c>
      <c r="G64" s="6" t="s">
        <v>701</v>
      </c>
      <c r="H64" s="6" t="s">
        <v>589</v>
      </c>
      <c r="I64" s="8" t="s">
        <v>4</v>
      </c>
      <c r="J64" s="8"/>
      <c r="K64" s="8"/>
      <c r="L64" s="9"/>
      <c r="M64" s="8"/>
      <c r="N64" s="6" t="s">
        <v>53</v>
      </c>
      <c r="O64" s="6" t="s">
        <v>680</v>
      </c>
      <c r="P64" s="6" t="s">
        <v>55</v>
      </c>
      <c r="Q64" s="6" t="s">
        <v>585</v>
      </c>
      <c r="R64" s="6"/>
    </row>
    <row r="65" spans="1:18" ht="140.1" customHeight="1">
      <c r="A65" s="7" t="s">
        <v>703</v>
      </c>
      <c r="B65" s="7" t="s">
        <v>677</v>
      </c>
      <c r="C65" s="7" t="s">
        <v>591</v>
      </c>
      <c r="D65" s="7" t="s">
        <v>84</v>
      </c>
      <c r="E65" s="7" t="s">
        <v>49</v>
      </c>
      <c r="F65" s="7" t="s">
        <v>535</v>
      </c>
      <c r="G65" s="7" t="s">
        <v>704</v>
      </c>
      <c r="H65" s="7" t="s">
        <v>593</v>
      </c>
      <c r="I65" s="8" t="s">
        <v>4</v>
      </c>
      <c r="J65" s="8"/>
      <c r="K65" s="8"/>
      <c r="L65" s="9"/>
      <c r="M65" s="8"/>
      <c r="N65" s="7" t="s">
        <v>53</v>
      </c>
      <c r="O65" s="7" t="s">
        <v>680</v>
      </c>
      <c r="P65" s="7" t="s">
        <v>55</v>
      </c>
      <c r="Q65" s="7" t="s">
        <v>56</v>
      </c>
      <c r="R65" s="7"/>
    </row>
    <row r="66" spans="1:18" ht="140.1" customHeight="1">
      <c r="A66" s="6" t="s">
        <v>705</v>
      </c>
      <c r="B66" s="6" t="s">
        <v>677</v>
      </c>
      <c r="C66" s="6" t="s">
        <v>633</v>
      </c>
      <c r="D66" s="6" t="s">
        <v>48</v>
      </c>
      <c r="E66" s="6" t="s">
        <v>49</v>
      </c>
      <c r="F66" s="6" t="s">
        <v>535</v>
      </c>
      <c r="G66" s="6" t="s">
        <v>706</v>
      </c>
      <c r="H66" s="6" t="s">
        <v>707</v>
      </c>
      <c r="I66" s="8" t="s">
        <v>4</v>
      </c>
      <c r="J66" s="8"/>
      <c r="K66" s="8"/>
      <c r="L66" s="9"/>
      <c r="M66" s="8"/>
      <c r="N66" s="6" t="s">
        <v>53</v>
      </c>
      <c r="O66" s="6" t="s">
        <v>680</v>
      </c>
      <c r="P66" s="6" t="s">
        <v>55</v>
      </c>
      <c r="Q66" s="6" t="s">
        <v>56</v>
      </c>
      <c r="R66" s="6"/>
    </row>
    <row r="67" spans="1:18" ht="140.1" customHeight="1">
      <c r="A67" s="7" t="s">
        <v>708</v>
      </c>
      <c r="B67" s="7" t="s">
        <v>677</v>
      </c>
      <c r="C67" s="7" t="s">
        <v>637</v>
      </c>
      <c r="D67" s="7" t="s">
        <v>48</v>
      </c>
      <c r="E67" s="7" t="s">
        <v>49</v>
      </c>
      <c r="F67" s="7" t="s">
        <v>535</v>
      </c>
      <c r="G67" s="7" t="s">
        <v>709</v>
      </c>
      <c r="H67" s="7" t="s">
        <v>639</v>
      </c>
      <c r="I67" s="8" t="s">
        <v>4</v>
      </c>
      <c r="J67" s="8"/>
      <c r="K67" s="8"/>
      <c r="L67" s="9"/>
      <c r="M67" s="8"/>
      <c r="N67" s="7" t="s">
        <v>53</v>
      </c>
      <c r="O67" s="7" t="s">
        <v>680</v>
      </c>
      <c r="P67" s="7" t="s">
        <v>55</v>
      </c>
      <c r="Q67" s="7" t="s">
        <v>56</v>
      </c>
      <c r="R67" s="7" t="s">
        <v>640</v>
      </c>
    </row>
    <row r="68" spans="1:18" ht="140.1" customHeight="1">
      <c r="A68" s="6" t="s">
        <v>710</v>
      </c>
      <c r="B68" s="6" t="s">
        <v>677</v>
      </c>
      <c r="C68" s="6" t="s">
        <v>600</v>
      </c>
      <c r="D68" s="6" t="s">
        <v>84</v>
      </c>
      <c r="E68" s="6" t="s">
        <v>49</v>
      </c>
      <c r="F68" s="6" t="s">
        <v>535</v>
      </c>
      <c r="G68" s="6" t="s">
        <v>711</v>
      </c>
      <c r="H68" s="6" t="s">
        <v>602</v>
      </c>
      <c r="I68" s="8" t="s">
        <v>4</v>
      </c>
      <c r="J68" s="8"/>
      <c r="K68" s="8"/>
      <c r="L68" s="9"/>
      <c r="M68" s="8"/>
      <c r="N68" s="6" t="s">
        <v>53</v>
      </c>
      <c r="O68" s="6" t="s">
        <v>680</v>
      </c>
      <c r="P68" s="6" t="s">
        <v>55</v>
      </c>
      <c r="Q68" s="6" t="s">
        <v>56</v>
      </c>
      <c r="R68" s="6"/>
    </row>
    <row r="69" spans="1:18" ht="140.1" customHeight="1">
      <c r="A69" s="7" t="s">
        <v>712</v>
      </c>
      <c r="B69" s="7" t="s">
        <v>713</v>
      </c>
      <c r="C69" s="7" t="s">
        <v>714</v>
      </c>
      <c r="D69" s="7" t="s">
        <v>84</v>
      </c>
      <c r="E69" s="7" t="s">
        <v>49</v>
      </c>
      <c r="F69" s="7" t="s">
        <v>715</v>
      </c>
      <c r="G69" s="7" t="s">
        <v>716</v>
      </c>
      <c r="H69" s="7" t="s">
        <v>717</v>
      </c>
      <c r="I69" s="8" t="s">
        <v>4</v>
      </c>
      <c r="J69" s="8"/>
      <c r="K69" s="8"/>
      <c r="L69" s="9"/>
      <c r="M69" s="8"/>
      <c r="N69" s="7" t="s">
        <v>53</v>
      </c>
      <c r="O69" s="7" t="s">
        <v>718</v>
      </c>
      <c r="P69" s="7" t="s">
        <v>55</v>
      </c>
      <c r="Q69" s="7" t="s">
        <v>56</v>
      </c>
      <c r="R69" s="7"/>
    </row>
    <row r="70" spans="1:18" ht="140.1" customHeight="1">
      <c r="A70" s="6" t="s">
        <v>719</v>
      </c>
      <c r="B70" s="6" t="s">
        <v>713</v>
      </c>
      <c r="C70" s="6" t="s">
        <v>720</v>
      </c>
      <c r="D70" s="6" t="s">
        <v>84</v>
      </c>
      <c r="E70" s="6" t="s">
        <v>49</v>
      </c>
      <c r="F70" s="6" t="s">
        <v>715</v>
      </c>
      <c r="G70" s="6" t="s">
        <v>721</v>
      </c>
      <c r="H70" s="6" t="s">
        <v>717</v>
      </c>
      <c r="I70" s="8" t="s">
        <v>4</v>
      </c>
      <c r="J70" s="8"/>
      <c r="K70" s="8"/>
      <c r="L70" s="9"/>
      <c r="M70" s="8"/>
      <c r="N70" s="6" t="s">
        <v>53</v>
      </c>
      <c r="O70" s="6" t="s">
        <v>718</v>
      </c>
      <c r="P70" s="6" t="s">
        <v>55</v>
      </c>
      <c r="Q70" s="6" t="s">
        <v>56</v>
      </c>
      <c r="R70" s="6"/>
    </row>
    <row r="71" spans="1:18" ht="140.1" customHeight="1">
      <c r="A71" s="7" t="s">
        <v>722</v>
      </c>
      <c r="B71" s="7" t="s">
        <v>713</v>
      </c>
      <c r="C71" s="7" t="s">
        <v>723</v>
      </c>
      <c r="D71" s="7" t="s">
        <v>84</v>
      </c>
      <c r="E71" s="7" t="s">
        <v>49</v>
      </c>
      <c r="F71" s="7" t="s">
        <v>715</v>
      </c>
      <c r="G71" s="7" t="s">
        <v>724</v>
      </c>
      <c r="H71" s="7" t="s">
        <v>717</v>
      </c>
      <c r="I71" s="8" t="s">
        <v>4</v>
      </c>
      <c r="J71" s="8"/>
      <c r="K71" s="8"/>
      <c r="L71" s="9"/>
      <c r="M71" s="8"/>
      <c r="N71" s="7" t="s">
        <v>53</v>
      </c>
      <c r="O71" s="7" t="s">
        <v>718</v>
      </c>
      <c r="P71" s="7" t="s">
        <v>55</v>
      </c>
      <c r="Q71" s="7" t="s">
        <v>56</v>
      </c>
      <c r="R71" s="7"/>
    </row>
    <row r="72" spans="1:18" ht="140.1" customHeight="1">
      <c r="A72" s="6" t="s">
        <v>725</v>
      </c>
      <c r="B72" s="6" t="s">
        <v>713</v>
      </c>
      <c r="C72" s="6" t="s">
        <v>726</v>
      </c>
      <c r="D72" s="6" t="s">
        <v>84</v>
      </c>
      <c r="E72" s="6" t="s">
        <v>49</v>
      </c>
      <c r="F72" s="6" t="s">
        <v>715</v>
      </c>
      <c r="G72" s="6" t="s">
        <v>727</v>
      </c>
      <c r="H72" s="6" t="s">
        <v>717</v>
      </c>
      <c r="I72" s="8" t="s">
        <v>4</v>
      </c>
      <c r="J72" s="8"/>
      <c r="K72" s="8"/>
      <c r="L72" s="9"/>
      <c r="M72" s="8"/>
      <c r="N72" s="6" t="s">
        <v>53</v>
      </c>
      <c r="O72" s="6" t="s">
        <v>718</v>
      </c>
      <c r="P72" s="6" t="s">
        <v>55</v>
      </c>
      <c r="Q72" s="6" t="s">
        <v>56</v>
      </c>
      <c r="R72" s="6"/>
    </row>
    <row r="73" spans="1:18" ht="140.1" customHeight="1">
      <c r="A73" s="7" t="s">
        <v>728</v>
      </c>
      <c r="B73" s="7" t="s">
        <v>713</v>
      </c>
      <c r="C73" s="7" t="s">
        <v>729</v>
      </c>
      <c r="D73" s="7" t="s">
        <v>84</v>
      </c>
      <c r="E73" s="7" t="s">
        <v>49</v>
      </c>
      <c r="F73" s="7" t="s">
        <v>730</v>
      </c>
      <c r="G73" s="7" t="s">
        <v>731</v>
      </c>
      <c r="H73" s="7" t="s">
        <v>732</v>
      </c>
      <c r="I73" s="8" t="s">
        <v>4</v>
      </c>
      <c r="J73" s="8"/>
      <c r="K73" s="8"/>
      <c r="L73" s="9"/>
      <c r="M73" s="8"/>
      <c r="N73" s="7" t="s">
        <v>53</v>
      </c>
      <c r="O73" s="7" t="s">
        <v>718</v>
      </c>
      <c r="P73" s="7" t="s">
        <v>55</v>
      </c>
      <c r="Q73" s="7" t="s">
        <v>56</v>
      </c>
      <c r="R73" s="7"/>
    </row>
    <row r="74" spans="1:18" ht="140.1" customHeight="1">
      <c r="A74" s="6" t="s">
        <v>733</v>
      </c>
      <c r="B74" s="6" t="s">
        <v>713</v>
      </c>
      <c r="C74" s="6" t="s">
        <v>734</v>
      </c>
      <c r="D74" s="6" t="s">
        <v>84</v>
      </c>
      <c r="E74" s="6" t="s">
        <v>49</v>
      </c>
      <c r="F74" s="6" t="s">
        <v>730</v>
      </c>
      <c r="G74" s="6" t="s">
        <v>735</v>
      </c>
      <c r="H74" s="6" t="s">
        <v>732</v>
      </c>
      <c r="I74" s="8" t="s">
        <v>4</v>
      </c>
      <c r="J74" s="8"/>
      <c r="K74" s="8"/>
      <c r="L74" s="9"/>
      <c r="M74" s="8"/>
      <c r="N74" s="6" t="s">
        <v>53</v>
      </c>
      <c r="O74" s="6" t="s">
        <v>718</v>
      </c>
      <c r="P74" s="6" t="s">
        <v>55</v>
      </c>
      <c r="Q74" s="6" t="s">
        <v>56</v>
      </c>
      <c r="R74" s="6"/>
    </row>
    <row r="75" spans="1:18" ht="140.1" customHeight="1">
      <c r="A75" s="7" t="s">
        <v>736</v>
      </c>
      <c r="B75" s="7" t="s">
        <v>713</v>
      </c>
      <c r="C75" s="7" t="s">
        <v>737</v>
      </c>
      <c r="D75" s="7" t="s">
        <v>738</v>
      </c>
      <c r="E75" s="7" t="s">
        <v>49</v>
      </c>
      <c r="F75" s="7" t="s">
        <v>739</v>
      </c>
      <c r="G75" s="7" t="s">
        <v>740</v>
      </c>
      <c r="H75" s="7" t="s">
        <v>741</v>
      </c>
      <c r="I75" s="8" t="s">
        <v>4</v>
      </c>
      <c r="J75" s="8"/>
      <c r="K75" s="8"/>
      <c r="L75" s="9"/>
      <c r="M75" s="8"/>
      <c r="N75" s="7" t="s">
        <v>53</v>
      </c>
      <c r="O75" s="7" t="s">
        <v>718</v>
      </c>
      <c r="P75" s="7" t="s">
        <v>55</v>
      </c>
      <c r="Q75" s="7" t="s">
        <v>56</v>
      </c>
      <c r="R75" s="7" t="s">
        <v>742</v>
      </c>
    </row>
    <row r="76" spans="1:18" ht="140.1" customHeight="1">
      <c r="A76" s="6" t="s">
        <v>743</v>
      </c>
      <c r="B76" s="6" t="s">
        <v>713</v>
      </c>
      <c r="C76" s="6" t="s">
        <v>744</v>
      </c>
      <c r="D76" s="6" t="s">
        <v>738</v>
      </c>
      <c r="E76" s="6" t="s">
        <v>49</v>
      </c>
      <c r="F76" s="6" t="s">
        <v>745</v>
      </c>
      <c r="G76" s="6" t="s">
        <v>740</v>
      </c>
      <c r="H76" s="6" t="s">
        <v>741</v>
      </c>
      <c r="I76" s="8" t="s">
        <v>4</v>
      </c>
      <c r="J76" s="8"/>
      <c r="K76" s="8"/>
      <c r="L76" s="9"/>
      <c r="M76" s="8"/>
      <c r="N76" s="6" t="s">
        <v>53</v>
      </c>
      <c r="O76" s="6" t="s">
        <v>718</v>
      </c>
      <c r="P76" s="6" t="s">
        <v>55</v>
      </c>
      <c r="Q76" s="6" t="s">
        <v>56</v>
      </c>
      <c r="R76" s="6" t="s">
        <v>742</v>
      </c>
    </row>
    <row r="77" spans="1:18" ht="140.1" customHeight="1">
      <c r="A77" s="7" t="s">
        <v>746</v>
      </c>
      <c r="B77" s="7" t="s">
        <v>713</v>
      </c>
      <c r="C77" s="7" t="s">
        <v>747</v>
      </c>
      <c r="D77" s="7" t="s">
        <v>738</v>
      </c>
      <c r="E77" s="7" t="s">
        <v>49</v>
      </c>
      <c r="F77" s="7" t="s">
        <v>748</v>
      </c>
      <c r="G77" s="7" t="s">
        <v>740</v>
      </c>
      <c r="H77" s="7" t="s">
        <v>741</v>
      </c>
      <c r="I77" s="8" t="s">
        <v>4</v>
      </c>
      <c r="J77" s="8"/>
      <c r="K77" s="8"/>
      <c r="L77" s="9"/>
      <c r="M77" s="8"/>
      <c r="N77" s="7" t="s">
        <v>53</v>
      </c>
      <c r="O77" s="7" t="s">
        <v>718</v>
      </c>
      <c r="P77" s="7" t="s">
        <v>55</v>
      </c>
      <c r="Q77" s="7" t="s">
        <v>56</v>
      </c>
      <c r="R77" s="7" t="s">
        <v>742</v>
      </c>
    </row>
    <row r="78" spans="1:18" ht="140.1" customHeight="1">
      <c r="A78" s="6" t="s">
        <v>749</v>
      </c>
      <c r="B78" s="6" t="s">
        <v>713</v>
      </c>
      <c r="C78" s="6" t="s">
        <v>750</v>
      </c>
      <c r="D78" s="6" t="s">
        <v>738</v>
      </c>
      <c r="E78" s="6" t="s">
        <v>49</v>
      </c>
      <c r="F78" s="6" t="s">
        <v>751</v>
      </c>
      <c r="G78" s="6" t="s">
        <v>740</v>
      </c>
      <c r="H78" s="6" t="s">
        <v>741</v>
      </c>
      <c r="I78" s="8" t="s">
        <v>4</v>
      </c>
      <c r="J78" s="8"/>
      <c r="K78" s="8"/>
      <c r="L78" s="9"/>
      <c r="M78" s="8"/>
      <c r="N78" s="6" t="s">
        <v>53</v>
      </c>
      <c r="O78" s="6" t="s">
        <v>718</v>
      </c>
      <c r="P78" s="6" t="s">
        <v>55</v>
      </c>
      <c r="Q78" s="6" t="s">
        <v>56</v>
      </c>
      <c r="R78" s="6" t="s">
        <v>742</v>
      </c>
    </row>
    <row r="79" spans="1:18" ht="140.1" customHeight="1">
      <c r="A79" s="7" t="s">
        <v>752</v>
      </c>
      <c r="B79" s="7" t="s">
        <v>753</v>
      </c>
      <c r="C79" s="7" t="s">
        <v>754</v>
      </c>
      <c r="D79" s="7" t="s">
        <v>48</v>
      </c>
      <c r="E79" s="7" t="s">
        <v>49</v>
      </c>
      <c r="F79" s="7" t="s">
        <v>755</v>
      </c>
      <c r="G79" s="7" t="s">
        <v>756</v>
      </c>
      <c r="H79" s="7" t="s">
        <v>757</v>
      </c>
      <c r="I79" s="8" t="s">
        <v>4</v>
      </c>
      <c r="J79" s="8"/>
      <c r="K79" s="8"/>
      <c r="L79" s="9"/>
      <c r="M79" s="8"/>
      <c r="N79" s="7" t="s">
        <v>53</v>
      </c>
      <c r="O79" s="7" t="s">
        <v>758</v>
      </c>
      <c r="P79" s="7" t="s">
        <v>55</v>
      </c>
      <c r="Q79" s="7" t="s">
        <v>56</v>
      </c>
      <c r="R79" s="7" t="s">
        <v>759</v>
      </c>
    </row>
    <row r="80" spans="1:18" ht="140.1" customHeight="1">
      <c r="A80" s="6" t="s">
        <v>760</v>
      </c>
      <c r="B80" s="6" t="s">
        <v>761</v>
      </c>
      <c r="C80" s="6" t="s">
        <v>762</v>
      </c>
      <c r="D80" s="6" t="s">
        <v>48</v>
      </c>
      <c r="E80" s="6" t="s">
        <v>49</v>
      </c>
      <c r="F80" s="6" t="s">
        <v>763</v>
      </c>
      <c r="G80" s="6" t="s">
        <v>764</v>
      </c>
      <c r="H80" s="6" t="s">
        <v>765</v>
      </c>
      <c r="I80" s="8" t="s">
        <v>4</v>
      </c>
      <c r="J80" s="8"/>
      <c r="K80" s="8"/>
      <c r="L80" s="9"/>
      <c r="M80" s="8"/>
      <c r="N80" s="6" t="s">
        <v>53</v>
      </c>
      <c r="O80" s="6" t="s">
        <v>766</v>
      </c>
      <c r="P80" s="6" t="s">
        <v>55</v>
      </c>
      <c r="Q80" s="6" t="s">
        <v>56</v>
      </c>
      <c r="R80" s="6" t="s">
        <v>767</v>
      </c>
    </row>
  </sheetData>
  <conditionalFormatting sqref="I6:I80">
    <cfRule type="cellIs" dxfId="11" priority="1" operator="equal">
      <formula>"فشلت"</formula>
    </cfRule>
    <cfRule type="cellIs" dxfId="10" priority="2" operator="equal">
      <formula>"محجوبة"</formula>
    </cfRule>
  </conditionalFormatting>
  <dataValidations count="1">
    <dataValidation type="list" sqref="I6:I80" xr:uid="{00000000-0002-0000-0500-000000000000}">
      <formula1>"لم تنفذ,نجحت,فشلت,محجوبة,غير منطبقة"</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64"/>
  <sheetViews>
    <sheetView showGridLines="0" rightToLeft="1" zoomScale="85" workbookViewId="0">
      <pane xSplit="2" ySplit="5" topLeftCell="C6" activePane="bottomRight" state="frozen"/>
      <selection pane="topRight"/>
      <selection pane="bottomLeft"/>
      <selection pane="bottomRight" activeCell="C6" sqref="C6"/>
    </sheetView>
  </sheetViews>
  <sheetFormatPr defaultRowHeight="14.25"/>
  <cols>
    <col min="1" max="1" width="14" customWidth="1"/>
    <col min="2" max="2" width="25" customWidth="1"/>
    <col min="3" max="3" width="40" customWidth="1"/>
    <col min="4" max="4" width="13" customWidth="1"/>
    <col min="5" max="5" width="48" customWidth="1"/>
    <col min="6" max="6" width="50" customWidth="1"/>
    <col min="7" max="8" width="72" customWidth="1"/>
    <col min="9" max="9" width="17" customWidth="1"/>
    <col min="10" max="10" width="45" customWidth="1"/>
    <col min="11" max="11" width="20" customWidth="1"/>
    <col min="12" max="13" width="18" customWidth="1"/>
    <col min="14" max="14" width="52" customWidth="1"/>
    <col min="15" max="15" width="66" customWidth="1"/>
    <col min="16" max="16" width="26" customWidth="1"/>
    <col min="17" max="17" width="23" customWidth="1"/>
    <col min="18" max="18" width="56" customWidth="1"/>
  </cols>
  <sheetData>
    <row r="1" spans="1:18">
      <c r="A1" s="1"/>
      <c r="B1" s="1"/>
      <c r="C1" s="1"/>
      <c r="D1" s="1"/>
      <c r="E1" s="1"/>
      <c r="F1" s="1"/>
      <c r="G1" s="1"/>
      <c r="H1" s="1"/>
      <c r="I1" s="1"/>
      <c r="J1" s="1"/>
      <c r="K1" s="1"/>
      <c r="L1" s="1"/>
      <c r="M1" s="1"/>
      <c r="N1" s="1"/>
      <c r="O1" s="1"/>
      <c r="P1" s="1"/>
      <c r="Q1" s="1"/>
      <c r="R1" s="1"/>
    </row>
    <row r="2" spans="1:18" ht="30" customHeight="1">
      <c r="A2" s="2" t="s">
        <v>768</v>
      </c>
      <c r="B2" s="1"/>
      <c r="C2" s="1"/>
      <c r="D2" s="1"/>
      <c r="E2" s="1"/>
      <c r="F2" s="1"/>
      <c r="G2" s="1"/>
      <c r="H2" s="1"/>
      <c r="I2" s="1"/>
      <c r="J2" s="1"/>
      <c r="K2" s="1"/>
      <c r="L2" s="1"/>
      <c r="M2" s="1"/>
      <c r="N2" s="1"/>
      <c r="O2" s="1"/>
      <c r="P2" s="1"/>
      <c r="Q2" s="1"/>
      <c r="R2" s="1"/>
    </row>
    <row r="3" spans="1:18">
      <c r="A3" s="3" t="s">
        <v>26</v>
      </c>
      <c r="B3" s="1"/>
      <c r="C3" s="1"/>
      <c r="D3" s="1"/>
      <c r="E3" s="1"/>
      <c r="F3" s="1"/>
      <c r="G3" s="1"/>
      <c r="H3" s="1"/>
      <c r="I3" s="1"/>
      <c r="J3" s="1"/>
      <c r="K3" s="1"/>
      <c r="L3" s="1"/>
      <c r="M3" s="1"/>
      <c r="N3" s="1"/>
      <c r="O3" s="1"/>
      <c r="P3" s="1"/>
      <c r="Q3" s="1"/>
      <c r="R3" s="1"/>
    </row>
    <row r="4" spans="1:18">
      <c r="A4" s="1"/>
      <c r="B4" s="1"/>
      <c r="C4" s="1"/>
      <c r="D4" s="1"/>
      <c r="E4" s="1"/>
      <c r="F4" s="1"/>
      <c r="G4" s="1"/>
      <c r="H4" s="1"/>
      <c r="I4" s="1"/>
      <c r="J4" s="1"/>
      <c r="K4" s="1"/>
      <c r="L4" s="1"/>
      <c r="M4" s="1"/>
      <c r="N4" s="1"/>
      <c r="O4" s="1"/>
      <c r="P4" s="1"/>
      <c r="Q4" s="1"/>
      <c r="R4" s="1"/>
    </row>
    <row r="5" spans="1:18" ht="36" customHeight="1">
      <c r="A5" s="5" t="s">
        <v>27</v>
      </c>
      <c r="B5" s="5" t="s">
        <v>28</v>
      </c>
      <c r="C5" s="5" t="s">
        <v>29</v>
      </c>
      <c r="D5" s="5" t="s">
        <v>30</v>
      </c>
      <c r="E5" s="5" t="s">
        <v>31</v>
      </c>
      <c r="F5" s="5" t="s">
        <v>32</v>
      </c>
      <c r="G5" s="5" t="s">
        <v>33</v>
      </c>
      <c r="H5" s="5" t="s">
        <v>34</v>
      </c>
      <c r="I5" s="5" t="s">
        <v>35</v>
      </c>
      <c r="J5" s="5" t="s">
        <v>36</v>
      </c>
      <c r="K5" s="5" t="s">
        <v>37</v>
      </c>
      <c r="L5" s="5" t="s">
        <v>38</v>
      </c>
      <c r="M5" s="5" t="s">
        <v>39</v>
      </c>
      <c r="N5" s="5" t="s">
        <v>40</v>
      </c>
      <c r="O5" s="5" t="s">
        <v>41</v>
      </c>
      <c r="P5" s="5" t="s">
        <v>42</v>
      </c>
      <c r="Q5" s="5" t="s">
        <v>43</v>
      </c>
      <c r="R5" s="5" t="s">
        <v>44</v>
      </c>
    </row>
    <row r="6" spans="1:18" ht="140.1" customHeight="1">
      <c r="A6" s="6" t="s">
        <v>769</v>
      </c>
      <c r="B6" s="6" t="s">
        <v>770</v>
      </c>
      <c r="C6" s="6" t="s">
        <v>534</v>
      </c>
      <c r="D6" s="6" t="s">
        <v>48</v>
      </c>
      <c r="E6" s="6" t="s">
        <v>49</v>
      </c>
      <c r="F6" s="6" t="s">
        <v>771</v>
      </c>
      <c r="G6" s="6" t="s">
        <v>772</v>
      </c>
      <c r="H6" s="6" t="s">
        <v>679</v>
      </c>
      <c r="I6" s="8" t="s">
        <v>4</v>
      </c>
      <c r="J6" s="8"/>
      <c r="K6" s="8"/>
      <c r="L6" s="9"/>
      <c r="M6" s="8"/>
      <c r="N6" s="6" t="s">
        <v>53</v>
      </c>
      <c r="O6" s="6" t="s">
        <v>773</v>
      </c>
      <c r="P6" s="6" t="s">
        <v>55</v>
      </c>
      <c r="Q6" s="6" t="s">
        <v>539</v>
      </c>
      <c r="R6" s="6"/>
    </row>
    <row r="7" spans="1:18" ht="140.1" customHeight="1">
      <c r="A7" s="7" t="s">
        <v>774</v>
      </c>
      <c r="B7" s="7" t="s">
        <v>770</v>
      </c>
      <c r="C7" s="7" t="s">
        <v>541</v>
      </c>
      <c r="D7" s="7" t="s">
        <v>48</v>
      </c>
      <c r="E7" s="7" t="s">
        <v>49</v>
      </c>
      <c r="F7" s="7" t="s">
        <v>771</v>
      </c>
      <c r="G7" s="7" t="s">
        <v>775</v>
      </c>
      <c r="H7" s="7" t="s">
        <v>679</v>
      </c>
      <c r="I7" s="8" t="s">
        <v>4</v>
      </c>
      <c r="J7" s="8"/>
      <c r="K7" s="8"/>
      <c r="L7" s="9"/>
      <c r="M7" s="8"/>
      <c r="N7" s="7" t="s">
        <v>53</v>
      </c>
      <c r="O7" s="7" t="s">
        <v>773</v>
      </c>
      <c r="P7" s="7" t="s">
        <v>55</v>
      </c>
      <c r="Q7" s="7" t="s">
        <v>539</v>
      </c>
      <c r="R7" s="7"/>
    </row>
    <row r="8" spans="1:18" ht="140.1" customHeight="1">
      <c r="A8" s="6" t="s">
        <v>776</v>
      </c>
      <c r="B8" s="6" t="s">
        <v>770</v>
      </c>
      <c r="C8" s="6" t="s">
        <v>544</v>
      </c>
      <c r="D8" s="6" t="s">
        <v>48</v>
      </c>
      <c r="E8" s="6" t="s">
        <v>49</v>
      </c>
      <c r="F8" s="6" t="s">
        <v>771</v>
      </c>
      <c r="G8" s="6" t="s">
        <v>777</v>
      </c>
      <c r="H8" s="6" t="s">
        <v>679</v>
      </c>
      <c r="I8" s="8" t="s">
        <v>4</v>
      </c>
      <c r="J8" s="8"/>
      <c r="K8" s="8"/>
      <c r="L8" s="9"/>
      <c r="M8" s="8"/>
      <c r="N8" s="6" t="s">
        <v>53</v>
      </c>
      <c r="O8" s="6" t="s">
        <v>773</v>
      </c>
      <c r="P8" s="6" t="s">
        <v>55</v>
      </c>
      <c r="Q8" s="6" t="s">
        <v>539</v>
      </c>
      <c r="R8" s="6"/>
    </row>
    <row r="9" spans="1:18" ht="140.1" customHeight="1">
      <c r="A9" s="7" t="s">
        <v>778</v>
      </c>
      <c r="B9" s="7" t="s">
        <v>770</v>
      </c>
      <c r="C9" s="7" t="s">
        <v>547</v>
      </c>
      <c r="D9" s="7" t="s">
        <v>48</v>
      </c>
      <c r="E9" s="7" t="s">
        <v>49</v>
      </c>
      <c r="F9" s="7" t="s">
        <v>779</v>
      </c>
      <c r="G9" s="7" t="s">
        <v>780</v>
      </c>
      <c r="H9" s="7" t="s">
        <v>550</v>
      </c>
      <c r="I9" s="8" t="s">
        <v>4</v>
      </c>
      <c r="J9" s="8"/>
      <c r="K9" s="8"/>
      <c r="L9" s="9"/>
      <c r="M9" s="8"/>
      <c r="N9" s="7" t="s">
        <v>53</v>
      </c>
      <c r="O9" s="7" t="s">
        <v>773</v>
      </c>
      <c r="P9" s="7" t="s">
        <v>55</v>
      </c>
      <c r="Q9" s="7" t="s">
        <v>551</v>
      </c>
      <c r="R9" s="7" t="s">
        <v>552</v>
      </c>
    </row>
    <row r="10" spans="1:18" ht="140.1" customHeight="1">
      <c r="A10" s="6" t="s">
        <v>781</v>
      </c>
      <c r="B10" s="6" t="s">
        <v>770</v>
      </c>
      <c r="C10" s="6" t="s">
        <v>554</v>
      </c>
      <c r="D10" s="6" t="s">
        <v>48</v>
      </c>
      <c r="E10" s="6" t="s">
        <v>49</v>
      </c>
      <c r="F10" s="6" t="s">
        <v>782</v>
      </c>
      <c r="G10" s="6" t="s">
        <v>783</v>
      </c>
      <c r="H10" s="6" t="s">
        <v>550</v>
      </c>
      <c r="I10" s="8" t="s">
        <v>4</v>
      </c>
      <c r="J10" s="8"/>
      <c r="K10" s="8"/>
      <c r="L10" s="9"/>
      <c r="M10" s="8"/>
      <c r="N10" s="6" t="s">
        <v>53</v>
      </c>
      <c r="O10" s="6" t="s">
        <v>773</v>
      </c>
      <c r="P10" s="6" t="s">
        <v>55</v>
      </c>
      <c r="Q10" s="6" t="s">
        <v>551</v>
      </c>
      <c r="R10" s="6" t="s">
        <v>552</v>
      </c>
    </row>
    <row r="11" spans="1:18" ht="140.1" customHeight="1">
      <c r="A11" s="7" t="s">
        <v>784</v>
      </c>
      <c r="B11" s="7" t="s">
        <v>770</v>
      </c>
      <c r="C11" s="7" t="s">
        <v>558</v>
      </c>
      <c r="D11" s="7" t="s">
        <v>48</v>
      </c>
      <c r="E11" s="7" t="s">
        <v>49</v>
      </c>
      <c r="F11" s="7" t="s">
        <v>785</v>
      </c>
      <c r="G11" s="7" t="s">
        <v>786</v>
      </c>
      <c r="H11" s="7" t="s">
        <v>550</v>
      </c>
      <c r="I11" s="8" t="s">
        <v>4</v>
      </c>
      <c r="J11" s="8"/>
      <c r="K11" s="8"/>
      <c r="L11" s="9"/>
      <c r="M11" s="8"/>
      <c r="N11" s="7" t="s">
        <v>53</v>
      </c>
      <c r="O11" s="7" t="s">
        <v>773</v>
      </c>
      <c r="P11" s="7" t="s">
        <v>55</v>
      </c>
      <c r="Q11" s="7" t="s">
        <v>551</v>
      </c>
      <c r="R11" s="7" t="s">
        <v>552</v>
      </c>
    </row>
    <row r="12" spans="1:18" ht="140.1" customHeight="1">
      <c r="A12" s="6" t="s">
        <v>787</v>
      </c>
      <c r="B12" s="6" t="s">
        <v>770</v>
      </c>
      <c r="C12" s="6" t="s">
        <v>562</v>
      </c>
      <c r="D12" s="6" t="s">
        <v>48</v>
      </c>
      <c r="E12" s="6" t="s">
        <v>49</v>
      </c>
      <c r="F12" s="6" t="s">
        <v>788</v>
      </c>
      <c r="G12" s="6" t="s">
        <v>789</v>
      </c>
      <c r="H12" s="6" t="s">
        <v>550</v>
      </c>
      <c r="I12" s="8" t="s">
        <v>4</v>
      </c>
      <c r="J12" s="8"/>
      <c r="K12" s="8"/>
      <c r="L12" s="9"/>
      <c r="M12" s="8"/>
      <c r="N12" s="6" t="s">
        <v>53</v>
      </c>
      <c r="O12" s="6" t="s">
        <v>773</v>
      </c>
      <c r="P12" s="6" t="s">
        <v>55</v>
      </c>
      <c r="Q12" s="6" t="s">
        <v>551</v>
      </c>
      <c r="R12" s="6" t="s">
        <v>552</v>
      </c>
    </row>
    <row r="13" spans="1:18" ht="140.1" customHeight="1">
      <c r="A13" s="7" t="s">
        <v>790</v>
      </c>
      <c r="B13" s="7" t="s">
        <v>770</v>
      </c>
      <c r="C13" s="7" t="s">
        <v>566</v>
      </c>
      <c r="D13" s="7" t="s">
        <v>48</v>
      </c>
      <c r="E13" s="7" t="s">
        <v>49</v>
      </c>
      <c r="F13" s="7" t="s">
        <v>791</v>
      </c>
      <c r="G13" s="7" t="s">
        <v>792</v>
      </c>
      <c r="H13" s="7" t="s">
        <v>695</v>
      </c>
      <c r="I13" s="8" t="s">
        <v>4</v>
      </c>
      <c r="J13" s="8"/>
      <c r="K13" s="8"/>
      <c r="L13" s="9"/>
      <c r="M13" s="8"/>
      <c r="N13" s="7" t="s">
        <v>53</v>
      </c>
      <c r="O13" s="7" t="s">
        <v>773</v>
      </c>
      <c r="P13" s="7" t="s">
        <v>55</v>
      </c>
      <c r="Q13" s="7" t="s">
        <v>479</v>
      </c>
      <c r="R13" s="7"/>
    </row>
    <row r="14" spans="1:18" ht="140.1" customHeight="1">
      <c r="A14" s="6" t="s">
        <v>793</v>
      </c>
      <c r="B14" s="6" t="s">
        <v>770</v>
      </c>
      <c r="C14" s="6" t="s">
        <v>571</v>
      </c>
      <c r="D14" s="6" t="s">
        <v>48</v>
      </c>
      <c r="E14" s="6" t="s">
        <v>49</v>
      </c>
      <c r="F14" s="6" t="s">
        <v>794</v>
      </c>
      <c r="G14" s="6" t="s">
        <v>795</v>
      </c>
      <c r="H14" s="6" t="s">
        <v>574</v>
      </c>
      <c r="I14" s="8" t="s">
        <v>4</v>
      </c>
      <c r="J14" s="8"/>
      <c r="K14" s="8"/>
      <c r="L14" s="9"/>
      <c r="M14" s="8"/>
      <c r="N14" s="6" t="s">
        <v>53</v>
      </c>
      <c r="O14" s="6" t="s">
        <v>773</v>
      </c>
      <c r="P14" s="6" t="s">
        <v>55</v>
      </c>
      <c r="Q14" s="6" t="s">
        <v>56</v>
      </c>
      <c r="R14" s="6"/>
    </row>
    <row r="15" spans="1:18" ht="140.1" customHeight="1">
      <c r="A15" s="7" t="s">
        <v>796</v>
      </c>
      <c r="B15" s="7" t="s">
        <v>770</v>
      </c>
      <c r="C15" s="7" t="s">
        <v>576</v>
      </c>
      <c r="D15" s="7" t="s">
        <v>84</v>
      </c>
      <c r="E15" s="7" t="s">
        <v>49</v>
      </c>
      <c r="F15" s="7" t="s">
        <v>797</v>
      </c>
      <c r="G15" s="7" t="s">
        <v>798</v>
      </c>
      <c r="H15" s="7" t="s">
        <v>579</v>
      </c>
      <c r="I15" s="8" t="s">
        <v>4</v>
      </c>
      <c r="J15" s="8"/>
      <c r="K15" s="8"/>
      <c r="L15" s="9"/>
      <c r="M15" s="8"/>
      <c r="N15" s="7" t="s">
        <v>53</v>
      </c>
      <c r="O15" s="7" t="s">
        <v>773</v>
      </c>
      <c r="P15" s="7" t="s">
        <v>55</v>
      </c>
      <c r="Q15" s="7" t="s">
        <v>56</v>
      </c>
      <c r="R15" s="7"/>
    </row>
    <row r="16" spans="1:18" ht="140.1" customHeight="1">
      <c r="A16" s="6" t="s">
        <v>799</v>
      </c>
      <c r="B16" s="6" t="s">
        <v>770</v>
      </c>
      <c r="C16" s="6" t="s">
        <v>581</v>
      </c>
      <c r="D16" s="6" t="s">
        <v>48</v>
      </c>
      <c r="E16" s="6" t="s">
        <v>49</v>
      </c>
      <c r="F16" s="6" t="s">
        <v>800</v>
      </c>
      <c r="G16" s="6" t="s">
        <v>801</v>
      </c>
      <c r="H16" s="6" t="s">
        <v>584</v>
      </c>
      <c r="I16" s="8" t="s">
        <v>4</v>
      </c>
      <c r="J16" s="8"/>
      <c r="K16" s="8"/>
      <c r="L16" s="9"/>
      <c r="M16" s="8"/>
      <c r="N16" s="6" t="s">
        <v>53</v>
      </c>
      <c r="O16" s="6" t="s">
        <v>773</v>
      </c>
      <c r="P16" s="6" t="s">
        <v>55</v>
      </c>
      <c r="Q16" s="6" t="s">
        <v>585</v>
      </c>
      <c r="R16" s="6"/>
    </row>
    <row r="17" spans="1:18" ht="140.1" customHeight="1">
      <c r="A17" s="7" t="s">
        <v>802</v>
      </c>
      <c r="B17" s="7" t="s">
        <v>770</v>
      </c>
      <c r="C17" s="7" t="s">
        <v>587</v>
      </c>
      <c r="D17" s="7" t="s">
        <v>48</v>
      </c>
      <c r="E17" s="7" t="s">
        <v>49</v>
      </c>
      <c r="F17" s="7" t="s">
        <v>803</v>
      </c>
      <c r="G17" s="7" t="s">
        <v>801</v>
      </c>
      <c r="H17" s="7" t="s">
        <v>589</v>
      </c>
      <c r="I17" s="8" t="s">
        <v>4</v>
      </c>
      <c r="J17" s="8"/>
      <c r="K17" s="8"/>
      <c r="L17" s="9"/>
      <c r="M17" s="8"/>
      <c r="N17" s="7" t="s">
        <v>53</v>
      </c>
      <c r="O17" s="7" t="s">
        <v>773</v>
      </c>
      <c r="P17" s="7" t="s">
        <v>55</v>
      </c>
      <c r="Q17" s="7" t="s">
        <v>585</v>
      </c>
      <c r="R17" s="7"/>
    </row>
    <row r="18" spans="1:18" ht="140.1" customHeight="1">
      <c r="A18" s="6" t="s">
        <v>804</v>
      </c>
      <c r="B18" s="6" t="s">
        <v>770</v>
      </c>
      <c r="C18" s="6" t="s">
        <v>591</v>
      </c>
      <c r="D18" s="6" t="s">
        <v>84</v>
      </c>
      <c r="E18" s="6" t="s">
        <v>49</v>
      </c>
      <c r="F18" s="6" t="s">
        <v>771</v>
      </c>
      <c r="G18" s="6" t="s">
        <v>805</v>
      </c>
      <c r="H18" s="6" t="s">
        <v>593</v>
      </c>
      <c r="I18" s="8" t="s">
        <v>4</v>
      </c>
      <c r="J18" s="8"/>
      <c r="K18" s="8"/>
      <c r="L18" s="9"/>
      <c r="M18" s="8"/>
      <c r="N18" s="6" t="s">
        <v>53</v>
      </c>
      <c r="O18" s="6" t="s">
        <v>773</v>
      </c>
      <c r="P18" s="6" t="s">
        <v>55</v>
      </c>
      <c r="Q18" s="6" t="s">
        <v>56</v>
      </c>
      <c r="R18" s="6"/>
    </row>
    <row r="19" spans="1:18" ht="140.1" customHeight="1">
      <c r="A19" s="7" t="s">
        <v>806</v>
      </c>
      <c r="B19" s="7" t="s">
        <v>770</v>
      </c>
      <c r="C19" s="7" t="s">
        <v>633</v>
      </c>
      <c r="D19" s="7" t="s">
        <v>48</v>
      </c>
      <c r="E19" s="7" t="s">
        <v>49</v>
      </c>
      <c r="F19" s="7" t="s">
        <v>771</v>
      </c>
      <c r="G19" s="7" t="s">
        <v>807</v>
      </c>
      <c r="H19" s="7" t="s">
        <v>707</v>
      </c>
      <c r="I19" s="8" t="s">
        <v>4</v>
      </c>
      <c r="J19" s="8"/>
      <c r="K19" s="8"/>
      <c r="L19" s="9"/>
      <c r="M19" s="8"/>
      <c r="N19" s="7" t="s">
        <v>53</v>
      </c>
      <c r="O19" s="7" t="s">
        <v>773</v>
      </c>
      <c r="P19" s="7" t="s">
        <v>55</v>
      </c>
      <c r="Q19" s="7" t="s">
        <v>56</v>
      </c>
      <c r="R19" s="7"/>
    </row>
    <row r="20" spans="1:18" ht="140.1" customHeight="1">
      <c r="A20" s="6" t="s">
        <v>808</v>
      </c>
      <c r="B20" s="6" t="s">
        <v>770</v>
      </c>
      <c r="C20" s="6" t="s">
        <v>637</v>
      </c>
      <c r="D20" s="6" t="s">
        <v>48</v>
      </c>
      <c r="E20" s="6" t="s">
        <v>49</v>
      </c>
      <c r="F20" s="6" t="s">
        <v>771</v>
      </c>
      <c r="G20" s="6" t="s">
        <v>809</v>
      </c>
      <c r="H20" s="6" t="s">
        <v>639</v>
      </c>
      <c r="I20" s="8" t="s">
        <v>4</v>
      </c>
      <c r="J20" s="8"/>
      <c r="K20" s="8"/>
      <c r="L20" s="9"/>
      <c r="M20" s="8"/>
      <c r="N20" s="6" t="s">
        <v>53</v>
      </c>
      <c r="O20" s="6" t="s">
        <v>773</v>
      </c>
      <c r="P20" s="6" t="s">
        <v>55</v>
      </c>
      <c r="Q20" s="6" t="s">
        <v>56</v>
      </c>
      <c r="R20" s="6" t="s">
        <v>640</v>
      </c>
    </row>
    <row r="21" spans="1:18" ht="140.1" customHeight="1">
      <c r="A21" s="7" t="s">
        <v>810</v>
      </c>
      <c r="B21" s="7" t="s">
        <v>770</v>
      </c>
      <c r="C21" s="7" t="s">
        <v>600</v>
      </c>
      <c r="D21" s="7" t="s">
        <v>84</v>
      </c>
      <c r="E21" s="7" t="s">
        <v>49</v>
      </c>
      <c r="F21" s="7" t="s">
        <v>771</v>
      </c>
      <c r="G21" s="7" t="s">
        <v>811</v>
      </c>
      <c r="H21" s="7" t="s">
        <v>602</v>
      </c>
      <c r="I21" s="8" t="s">
        <v>4</v>
      </c>
      <c r="J21" s="8"/>
      <c r="K21" s="8"/>
      <c r="L21" s="9"/>
      <c r="M21" s="8"/>
      <c r="N21" s="7" t="s">
        <v>53</v>
      </c>
      <c r="O21" s="7" t="s">
        <v>773</v>
      </c>
      <c r="P21" s="7" t="s">
        <v>55</v>
      </c>
      <c r="Q21" s="7" t="s">
        <v>56</v>
      </c>
      <c r="R21" s="7"/>
    </row>
    <row r="22" spans="1:18" ht="140.1" customHeight="1">
      <c r="A22" s="6" t="s">
        <v>812</v>
      </c>
      <c r="B22" s="6" t="s">
        <v>813</v>
      </c>
      <c r="C22" s="6" t="s">
        <v>534</v>
      </c>
      <c r="D22" s="6" t="s">
        <v>48</v>
      </c>
      <c r="E22" s="6" t="s">
        <v>49</v>
      </c>
      <c r="F22" s="6" t="s">
        <v>771</v>
      </c>
      <c r="G22" s="6" t="s">
        <v>814</v>
      </c>
      <c r="H22" s="6" t="s">
        <v>606</v>
      </c>
      <c r="I22" s="8" t="s">
        <v>4</v>
      </c>
      <c r="J22" s="8"/>
      <c r="K22" s="8"/>
      <c r="L22" s="9"/>
      <c r="M22" s="8"/>
      <c r="N22" s="6" t="s">
        <v>53</v>
      </c>
      <c r="O22" s="6" t="s">
        <v>815</v>
      </c>
      <c r="P22" s="6" t="s">
        <v>55</v>
      </c>
      <c r="Q22" s="6" t="s">
        <v>539</v>
      </c>
      <c r="R22" s="6"/>
    </row>
    <row r="23" spans="1:18" ht="140.1" customHeight="1">
      <c r="A23" s="7" t="s">
        <v>816</v>
      </c>
      <c r="B23" s="7" t="s">
        <v>813</v>
      </c>
      <c r="C23" s="7" t="s">
        <v>541</v>
      </c>
      <c r="D23" s="7" t="s">
        <v>48</v>
      </c>
      <c r="E23" s="7" t="s">
        <v>49</v>
      </c>
      <c r="F23" s="7" t="s">
        <v>771</v>
      </c>
      <c r="G23" s="7" t="s">
        <v>817</v>
      </c>
      <c r="H23" s="7" t="s">
        <v>606</v>
      </c>
      <c r="I23" s="8" t="s">
        <v>4</v>
      </c>
      <c r="J23" s="8"/>
      <c r="K23" s="8"/>
      <c r="L23" s="9"/>
      <c r="M23" s="8"/>
      <c r="N23" s="7" t="s">
        <v>53</v>
      </c>
      <c r="O23" s="7" t="s">
        <v>815</v>
      </c>
      <c r="P23" s="7" t="s">
        <v>55</v>
      </c>
      <c r="Q23" s="7" t="s">
        <v>539</v>
      </c>
      <c r="R23" s="7"/>
    </row>
    <row r="24" spans="1:18" ht="140.1" customHeight="1">
      <c r="A24" s="6" t="s">
        <v>818</v>
      </c>
      <c r="B24" s="6" t="s">
        <v>813</v>
      </c>
      <c r="C24" s="6" t="s">
        <v>544</v>
      </c>
      <c r="D24" s="6" t="s">
        <v>48</v>
      </c>
      <c r="E24" s="6" t="s">
        <v>49</v>
      </c>
      <c r="F24" s="6" t="s">
        <v>771</v>
      </c>
      <c r="G24" s="6" t="s">
        <v>819</v>
      </c>
      <c r="H24" s="6" t="s">
        <v>606</v>
      </c>
      <c r="I24" s="8" t="s">
        <v>4</v>
      </c>
      <c r="J24" s="8"/>
      <c r="K24" s="8"/>
      <c r="L24" s="9"/>
      <c r="M24" s="8"/>
      <c r="N24" s="6" t="s">
        <v>53</v>
      </c>
      <c r="O24" s="6" t="s">
        <v>815</v>
      </c>
      <c r="P24" s="6" t="s">
        <v>55</v>
      </c>
      <c r="Q24" s="6" t="s">
        <v>539</v>
      </c>
      <c r="R24" s="6"/>
    </row>
    <row r="25" spans="1:18" ht="140.1" customHeight="1">
      <c r="A25" s="7" t="s">
        <v>820</v>
      </c>
      <c r="B25" s="7" t="s">
        <v>813</v>
      </c>
      <c r="C25" s="7" t="s">
        <v>547</v>
      </c>
      <c r="D25" s="7" t="s">
        <v>48</v>
      </c>
      <c r="E25" s="7" t="s">
        <v>49</v>
      </c>
      <c r="F25" s="7" t="s">
        <v>779</v>
      </c>
      <c r="G25" s="7" t="s">
        <v>821</v>
      </c>
      <c r="H25" s="7" t="s">
        <v>550</v>
      </c>
      <c r="I25" s="8" t="s">
        <v>4</v>
      </c>
      <c r="J25" s="8"/>
      <c r="K25" s="8"/>
      <c r="L25" s="9"/>
      <c r="M25" s="8"/>
      <c r="N25" s="7" t="s">
        <v>53</v>
      </c>
      <c r="O25" s="7" t="s">
        <v>815</v>
      </c>
      <c r="P25" s="7" t="s">
        <v>55</v>
      </c>
      <c r="Q25" s="7" t="s">
        <v>551</v>
      </c>
      <c r="R25" s="7" t="s">
        <v>552</v>
      </c>
    </row>
    <row r="26" spans="1:18" ht="140.1" customHeight="1">
      <c r="A26" s="6" t="s">
        <v>822</v>
      </c>
      <c r="B26" s="6" t="s">
        <v>813</v>
      </c>
      <c r="C26" s="6" t="s">
        <v>554</v>
      </c>
      <c r="D26" s="6" t="s">
        <v>48</v>
      </c>
      <c r="E26" s="6" t="s">
        <v>49</v>
      </c>
      <c r="F26" s="6" t="s">
        <v>782</v>
      </c>
      <c r="G26" s="6" t="s">
        <v>823</v>
      </c>
      <c r="H26" s="6" t="s">
        <v>550</v>
      </c>
      <c r="I26" s="8" t="s">
        <v>4</v>
      </c>
      <c r="J26" s="8"/>
      <c r="K26" s="8"/>
      <c r="L26" s="9"/>
      <c r="M26" s="8"/>
      <c r="N26" s="6" t="s">
        <v>53</v>
      </c>
      <c r="O26" s="6" t="s">
        <v>815</v>
      </c>
      <c r="P26" s="6" t="s">
        <v>55</v>
      </c>
      <c r="Q26" s="6" t="s">
        <v>551</v>
      </c>
      <c r="R26" s="6" t="s">
        <v>552</v>
      </c>
    </row>
    <row r="27" spans="1:18" ht="140.1" customHeight="1">
      <c r="A27" s="7" t="s">
        <v>824</v>
      </c>
      <c r="B27" s="7" t="s">
        <v>813</v>
      </c>
      <c r="C27" s="7" t="s">
        <v>558</v>
      </c>
      <c r="D27" s="7" t="s">
        <v>48</v>
      </c>
      <c r="E27" s="7" t="s">
        <v>49</v>
      </c>
      <c r="F27" s="7" t="s">
        <v>785</v>
      </c>
      <c r="G27" s="7" t="s">
        <v>825</v>
      </c>
      <c r="H27" s="7" t="s">
        <v>550</v>
      </c>
      <c r="I27" s="8" t="s">
        <v>4</v>
      </c>
      <c r="J27" s="8"/>
      <c r="K27" s="8"/>
      <c r="L27" s="9"/>
      <c r="M27" s="8"/>
      <c r="N27" s="7" t="s">
        <v>53</v>
      </c>
      <c r="O27" s="7" t="s">
        <v>815</v>
      </c>
      <c r="P27" s="7" t="s">
        <v>55</v>
      </c>
      <c r="Q27" s="7" t="s">
        <v>551</v>
      </c>
      <c r="R27" s="7" t="s">
        <v>552</v>
      </c>
    </row>
    <row r="28" spans="1:18" ht="140.1" customHeight="1">
      <c r="A28" s="6" t="s">
        <v>826</v>
      </c>
      <c r="B28" s="6" t="s">
        <v>813</v>
      </c>
      <c r="C28" s="6" t="s">
        <v>562</v>
      </c>
      <c r="D28" s="6" t="s">
        <v>48</v>
      </c>
      <c r="E28" s="6" t="s">
        <v>49</v>
      </c>
      <c r="F28" s="6" t="s">
        <v>788</v>
      </c>
      <c r="G28" s="6" t="s">
        <v>827</v>
      </c>
      <c r="H28" s="6" t="s">
        <v>550</v>
      </c>
      <c r="I28" s="8" t="s">
        <v>4</v>
      </c>
      <c r="J28" s="8"/>
      <c r="K28" s="8"/>
      <c r="L28" s="9"/>
      <c r="M28" s="8"/>
      <c r="N28" s="6" t="s">
        <v>53</v>
      </c>
      <c r="O28" s="6" t="s">
        <v>815</v>
      </c>
      <c r="P28" s="6" t="s">
        <v>55</v>
      </c>
      <c r="Q28" s="6" t="s">
        <v>551</v>
      </c>
      <c r="R28" s="6" t="s">
        <v>552</v>
      </c>
    </row>
    <row r="29" spans="1:18" ht="140.1" customHeight="1">
      <c r="A29" s="7" t="s">
        <v>828</v>
      </c>
      <c r="B29" s="7" t="s">
        <v>813</v>
      </c>
      <c r="C29" s="7" t="s">
        <v>566</v>
      </c>
      <c r="D29" s="7" t="s">
        <v>48</v>
      </c>
      <c r="E29" s="7" t="s">
        <v>49</v>
      </c>
      <c r="F29" s="7" t="s">
        <v>791</v>
      </c>
      <c r="G29" s="7" t="s">
        <v>829</v>
      </c>
      <c r="H29" s="7" t="s">
        <v>622</v>
      </c>
      <c r="I29" s="8" t="s">
        <v>4</v>
      </c>
      <c r="J29" s="8"/>
      <c r="K29" s="8"/>
      <c r="L29" s="9"/>
      <c r="M29" s="8"/>
      <c r="N29" s="7" t="s">
        <v>53</v>
      </c>
      <c r="O29" s="7" t="s">
        <v>815</v>
      </c>
      <c r="P29" s="7" t="s">
        <v>55</v>
      </c>
      <c r="Q29" s="7" t="s">
        <v>479</v>
      </c>
      <c r="R29" s="7"/>
    </row>
    <row r="30" spans="1:18" ht="140.1" customHeight="1">
      <c r="A30" s="6" t="s">
        <v>830</v>
      </c>
      <c r="B30" s="6" t="s">
        <v>813</v>
      </c>
      <c r="C30" s="6" t="s">
        <v>571</v>
      </c>
      <c r="D30" s="6" t="s">
        <v>48</v>
      </c>
      <c r="E30" s="6" t="s">
        <v>49</v>
      </c>
      <c r="F30" s="6" t="s">
        <v>794</v>
      </c>
      <c r="G30" s="6" t="s">
        <v>831</v>
      </c>
      <c r="H30" s="6" t="s">
        <v>574</v>
      </c>
      <c r="I30" s="8" t="s">
        <v>4</v>
      </c>
      <c r="J30" s="8"/>
      <c r="K30" s="8"/>
      <c r="L30" s="9"/>
      <c r="M30" s="8"/>
      <c r="N30" s="6" t="s">
        <v>53</v>
      </c>
      <c r="O30" s="6" t="s">
        <v>815</v>
      </c>
      <c r="P30" s="6" t="s">
        <v>55</v>
      </c>
      <c r="Q30" s="6" t="s">
        <v>56</v>
      </c>
      <c r="R30" s="6"/>
    </row>
    <row r="31" spans="1:18" ht="140.1" customHeight="1">
      <c r="A31" s="7" t="s">
        <v>832</v>
      </c>
      <c r="B31" s="7" t="s">
        <v>813</v>
      </c>
      <c r="C31" s="7" t="s">
        <v>576</v>
      </c>
      <c r="D31" s="7" t="s">
        <v>84</v>
      </c>
      <c r="E31" s="7" t="s">
        <v>49</v>
      </c>
      <c r="F31" s="7" t="s">
        <v>797</v>
      </c>
      <c r="G31" s="7" t="s">
        <v>833</v>
      </c>
      <c r="H31" s="7" t="s">
        <v>579</v>
      </c>
      <c r="I31" s="8" t="s">
        <v>4</v>
      </c>
      <c r="J31" s="8"/>
      <c r="K31" s="8"/>
      <c r="L31" s="9"/>
      <c r="M31" s="8"/>
      <c r="N31" s="7" t="s">
        <v>53</v>
      </c>
      <c r="O31" s="7" t="s">
        <v>815</v>
      </c>
      <c r="P31" s="7" t="s">
        <v>55</v>
      </c>
      <c r="Q31" s="7" t="s">
        <v>56</v>
      </c>
      <c r="R31" s="7"/>
    </row>
    <row r="32" spans="1:18" ht="140.1" customHeight="1">
      <c r="A32" s="6" t="s">
        <v>834</v>
      </c>
      <c r="B32" s="6" t="s">
        <v>813</v>
      </c>
      <c r="C32" s="6" t="s">
        <v>591</v>
      </c>
      <c r="D32" s="6" t="s">
        <v>84</v>
      </c>
      <c r="E32" s="6" t="s">
        <v>49</v>
      </c>
      <c r="F32" s="6" t="s">
        <v>771</v>
      </c>
      <c r="G32" s="6" t="s">
        <v>835</v>
      </c>
      <c r="H32" s="6" t="s">
        <v>593</v>
      </c>
      <c r="I32" s="8" t="s">
        <v>4</v>
      </c>
      <c r="J32" s="8"/>
      <c r="K32" s="8"/>
      <c r="L32" s="9"/>
      <c r="M32" s="8"/>
      <c r="N32" s="6" t="s">
        <v>53</v>
      </c>
      <c r="O32" s="6" t="s">
        <v>815</v>
      </c>
      <c r="P32" s="6" t="s">
        <v>55</v>
      </c>
      <c r="Q32" s="6" t="s">
        <v>56</v>
      </c>
      <c r="R32" s="6"/>
    </row>
    <row r="33" spans="1:18" ht="140.1" customHeight="1">
      <c r="A33" s="7" t="s">
        <v>836</v>
      </c>
      <c r="B33" s="7" t="s">
        <v>813</v>
      </c>
      <c r="C33" s="7" t="s">
        <v>633</v>
      </c>
      <c r="D33" s="7" t="s">
        <v>48</v>
      </c>
      <c r="E33" s="7" t="s">
        <v>49</v>
      </c>
      <c r="F33" s="7" t="s">
        <v>771</v>
      </c>
      <c r="G33" s="7" t="s">
        <v>837</v>
      </c>
      <c r="H33" s="7" t="s">
        <v>635</v>
      </c>
      <c r="I33" s="8" t="s">
        <v>4</v>
      </c>
      <c r="J33" s="8"/>
      <c r="K33" s="8"/>
      <c r="L33" s="9"/>
      <c r="M33" s="8"/>
      <c r="N33" s="7" t="s">
        <v>53</v>
      </c>
      <c r="O33" s="7" t="s">
        <v>815</v>
      </c>
      <c r="P33" s="7" t="s">
        <v>55</v>
      </c>
      <c r="Q33" s="7" t="s">
        <v>56</v>
      </c>
      <c r="R33" s="7"/>
    </row>
    <row r="34" spans="1:18" ht="140.1" customHeight="1">
      <c r="A34" s="6" t="s">
        <v>838</v>
      </c>
      <c r="B34" s="6" t="s">
        <v>813</v>
      </c>
      <c r="C34" s="6" t="s">
        <v>637</v>
      </c>
      <c r="D34" s="6" t="s">
        <v>48</v>
      </c>
      <c r="E34" s="6" t="s">
        <v>49</v>
      </c>
      <c r="F34" s="6" t="s">
        <v>771</v>
      </c>
      <c r="G34" s="6" t="s">
        <v>839</v>
      </c>
      <c r="H34" s="6" t="s">
        <v>639</v>
      </c>
      <c r="I34" s="8" t="s">
        <v>4</v>
      </c>
      <c r="J34" s="8"/>
      <c r="K34" s="8"/>
      <c r="L34" s="9"/>
      <c r="M34" s="8"/>
      <c r="N34" s="6" t="s">
        <v>53</v>
      </c>
      <c r="O34" s="6" t="s">
        <v>815</v>
      </c>
      <c r="P34" s="6" t="s">
        <v>55</v>
      </c>
      <c r="Q34" s="6" t="s">
        <v>56</v>
      </c>
      <c r="R34" s="6" t="s">
        <v>640</v>
      </c>
    </row>
    <row r="35" spans="1:18" ht="140.1" customHeight="1">
      <c r="A35" s="7" t="s">
        <v>840</v>
      </c>
      <c r="B35" s="7" t="s">
        <v>813</v>
      </c>
      <c r="C35" s="7" t="s">
        <v>600</v>
      </c>
      <c r="D35" s="7" t="s">
        <v>84</v>
      </c>
      <c r="E35" s="7" t="s">
        <v>49</v>
      </c>
      <c r="F35" s="7" t="s">
        <v>771</v>
      </c>
      <c r="G35" s="7" t="s">
        <v>841</v>
      </c>
      <c r="H35" s="7" t="s">
        <v>602</v>
      </c>
      <c r="I35" s="8" t="s">
        <v>4</v>
      </c>
      <c r="J35" s="8"/>
      <c r="K35" s="8"/>
      <c r="L35" s="9"/>
      <c r="M35" s="8"/>
      <c r="N35" s="7" t="s">
        <v>53</v>
      </c>
      <c r="O35" s="7" t="s">
        <v>815</v>
      </c>
      <c r="P35" s="7" t="s">
        <v>55</v>
      </c>
      <c r="Q35" s="7" t="s">
        <v>56</v>
      </c>
      <c r="R35" s="7"/>
    </row>
    <row r="36" spans="1:18" ht="140.1" customHeight="1">
      <c r="A36" s="6" t="s">
        <v>842</v>
      </c>
      <c r="B36" s="6" t="s">
        <v>843</v>
      </c>
      <c r="C36" s="6" t="s">
        <v>534</v>
      </c>
      <c r="D36" s="6" t="s">
        <v>48</v>
      </c>
      <c r="E36" s="6" t="s">
        <v>49</v>
      </c>
      <c r="F36" s="6" t="s">
        <v>771</v>
      </c>
      <c r="G36" s="6" t="s">
        <v>844</v>
      </c>
      <c r="H36" s="6" t="s">
        <v>537</v>
      </c>
      <c r="I36" s="8" t="s">
        <v>4</v>
      </c>
      <c r="J36" s="8"/>
      <c r="K36" s="8"/>
      <c r="L36" s="9"/>
      <c r="M36" s="8"/>
      <c r="N36" s="6" t="s">
        <v>53</v>
      </c>
      <c r="O36" s="6" t="s">
        <v>845</v>
      </c>
      <c r="P36" s="6" t="s">
        <v>55</v>
      </c>
      <c r="Q36" s="6" t="s">
        <v>539</v>
      </c>
      <c r="R36" s="6"/>
    </row>
    <row r="37" spans="1:18" ht="140.1" customHeight="1">
      <c r="A37" s="7" t="s">
        <v>846</v>
      </c>
      <c r="B37" s="7" t="s">
        <v>843</v>
      </c>
      <c r="C37" s="7" t="s">
        <v>541</v>
      </c>
      <c r="D37" s="7" t="s">
        <v>48</v>
      </c>
      <c r="E37" s="7" t="s">
        <v>49</v>
      </c>
      <c r="F37" s="7" t="s">
        <v>771</v>
      </c>
      <c r="G37" s="7" t="s">
        <v>847</v>
      </c>
      <c r="H37" s="7" t="s">
        <v>537</v>
      </c>
      <c r="I37" s="8" t="s">
        <v>4</v>
      </c>
      <c r="J37" s="8"/>
      <c r="K37" s="8"/>
      <c r="L37" s="9"/>
      <c r="M37" s="8"/>
      <c r="N37" s="7" t="s">
        <v>53</v>
      </c>
      <c r="O37" s="7" t="s">
        <v>845</v>
      </c>
      <c r="P37" s="7" t="s">
        <v>55</v>
      </c>
      <c r="Q37" s="7" t="s">
        <v>539</v>
      </c>
      <c r="R37" s="7"/>
    </row>
    <row r="38" spans="1:18" ht="140.1" customHeight="1">
      <c r="A38" s="6" t="s">
        <v>848</v>
      </c>
      <c r="B38" s="6" t="s">
        <v>843</v>
      </c>
      <c r="C38" s="6" t="s">
        <v>544</v>
      </c>
      <c r="D38" s="6" t="s">
        <v>48</v>
      </c>
      <c r="E38" s="6" t="s">
        <v>49</v>
      </c>
      <c r="F38" s="6" t="s">
        <v>771</v>
      </c>
      <c r="G38" s="6" t="s">
        <v>849</v>
      </c>
      <c r="H38" s="6" t="s">
        <v>537</v>
      </c>
      <c r="I38" s="8" t="s">
        <v>4</v>
      </c>
      <c r="J38" s="8"/>
      <c r="K38" s="8"/>
      <c r="L38" s="9"/>
      <c r="M38" s="8"/>
      <c r="N38" s="6" t="s">
        <v>53</v>
      </c>
      <c r="O38" s="6" t="s">
        <v>845</v>
      </c>
      <c r="P38" s="6" t="s">
        <v>55</v>
      </c>
      <c r="Q38" s="6" t="s">
        <v>539</v>
      </c>
      <c r="R38" s="6"/>
    </row>
    <row r="39" spans="1:18" ht="140.1" customHeight="1">
      <c r="A39" s="7" t="s">
        <v>850</v>
      </c>
      <c r="B39" s="7" t="s">
        <v>843</v>
      </c>
      <c r="C39" s="7" t="s">
        <v>547</v>
      </c>
      <c r="D39" s="7" t="s">
        <v>48</v>
      </c>
      <c r="E39" s="7" t="s">
        <v>49</v>
      </c>
      <c r="F39" s="7" t="s">
        <v>779</v>
      </c>
      <c r="G39" s="7" t="s">
        <v>851</v>
      </c>
      <c r="H39" s="7" t="s">
        <v>550</v>
      </c>
      <c r="I39" s="8" t="s">
        <v>4</v>
      </c>
      <c r="J39" s="8"/>
      <c r="K39" s="8"/>
      <c r="L39" s="9"/>
      <c r="M39" s="8"/>
      <c r="N39" s="7" t="s">
        <v>53</v>
      </c>
      <c r="O39" s="7" t="s">
        <v>845</v>
      </c>
      <c r="P39" s="7" t="s">
        <v>55</v>
      </c>
      <c r="Q39" s="7" t="s">
        <v>551</v>
      </c>
      <c r="R39" s="7" t="s">
        <v>552</v>
      </c>
    </row>
    <row r="40" spans="1:18" ht="140.1" customHeight="1">
      <c r="A40" s="6" t="s">
        <v>852</v>
      </c>
      <c r="B40" s="6" t="s">
        <v>843</v>
      </c>
      <c r="C40" s="6" t="s">
        <v>554</v>
      </c>
      <c r="D40" s="6" t="s">
        <v>48</v>
      </c>
      <c r="E40" s="6" t="s">
        <v>49</v>
      </c>
      <c r="F40" s="6" t="s">
        <v>782</v>
      </c>
      <c r="G40" s="6" t="s">
        <v>853</v>
      </c>
      <c r="H40" s="6" t="s">
        <v>550</v>
      </c>
      <c r="I40" s="8" t="s">
        <v>4</v>
      </c>
      <c r="J40" s="8"/>
      <c r="K40" s="8"/>
      <c r="L40" s="9"/>
      <c r="M40" s="8"/>
      <c r="N40" s="6" t="s">
        <v>53</v>
      </c>
      <c r="O40" s="6" t="s">
        <v>845</v>
      </c>
      <c r="P40" s="6" t="s">
        <v>55</v>
      </c>
      <c r="Q40" s="6" t="s">
        <v>551</v>
      </c>
      <c r="R40" s="6" t="s">
        <v>552</v>
      </c>
    </row>
    <row r="41" spans="1:18" ht="140.1" customHeight="1">
      <c r="A41" s="7" t="s">
        <v>854</v>
      </c>
      <c r="B41" s="7" t="s">
        <v>843</v>
      </c>
      <c r="C41" s="7" t="s">
        <v>558</v>
      </c>
      <c r="D41" s="7" t="s">
        <v>48</v>
      </c>
      <c r="E41" s="7" t="s">
        <v>49</v>
      </c>
      <c r="F41" s="7" t="s">
        <v>785</v>
      </c>
      <c r="G41" s="7" t="s">
        <v>855</v>
      </c>
      <c r="H41" s="7" t="s">
        <v>550</v>
      </c>
      <c r="I41" s="8" t="s">
        <v>4</v>
      </c>
      <c r="J41" s="8"/>
      <c r="K41" s="8"/>
      <c r="L41" s="9"/>
      <c r="M41" s="8"/>
      <c r="N41" s="7" t="s">
        <v>53</v>
      </c>
      <c r="O41" s="7" t="s">
        <v>845</v>
      </c>
      <c r="P41" s="7" t="s">
        <v>55</v>
      </c>
      <c r="Q41" s="7" t="s">
        <v>551</v>
      </c>
      <c r="R41" s="7" t="s">
        <v>552</v>
      </c>
    </row>
    <row r="42" spans="1:18" ht="140.1" customHeight="1">
      <c r="A42" s="6" t="s">
        <v>856</v>
      </c>
      <c r="B42" s="6" t="s">
        <v>843</v>
      </c>
      <c r="C42" s="6" t="s">
        <v>562</v>
      </c>
      <c r="D42" s="6" t="s">
        <v>48</v>
      </c>
      <c r="E42" s="6" t="s">
        <v>49</v>
      </c>
      <c r="F42" s="6" t="s">
        <v>788</v>
      </c>
      <c r="G42" s="6" t="s">
        <v>857</v>
      </c>
      <c r="H42" s="6" t="s">
        <v>550</v>
      </c>
      <c r="I42" s="8" t="s">
        <v>4</v>
      </c>
      <c r="J42" s="8"/>
      <c r="K42" s="8"/>
      <c r="L42" s="9"/>
      <c r="M42" s="8"/>
      <c r="N42" s="6" t="s">
        <v>53</v>
      </c>
      <c r="O42" s="6" t="s">
        <v>845</v>
      </c>
      <c r="P42" s="6" t="s">
        <v>55</v>
      </c>
      <c r="Q42" s="6" t="s">
        <v>551</v>
      </c>
      <c r="R42" s="6" t="s">
        <v>552</v>
      </c>
    </row>
    <row r="43" spans="1:18" ht="140.1" customHeight="1">
      <c r="A43" s="7" t="s">
        <v>858</v>
      </c>
      <c r="B43" s="7" t="s">
        <v>843</v>
      </c>
      <c r="C43" s="7" t="s">
        <v>566</v>
      </c>
      <c r="D43" s="7" t="s">
        <v>48</v>
      </c>
      <c r="E43" s="7" t="s">
        <v>49</v>
      </c>
      <c r="F43" s="7" t="s">
        <v>791</v>
      </c>
      <c r="G43" s="7" t="s">
        <v>859</v>
      </c>
      <c r="H43" s="7" t="s">
        <v>569</v>
      </c>
      <c r="I43" s="8" t="s">
        <v>4</v>
      </c>
      <c r="J43" s="8"/>
      <c r="K43" s="8"/>
      <c r="L43" s="9"/>
      <c r="M43" s="8"/>
      <c r="N43" s="7" t="s">
        <v>53</v>
      </c>
      <c r="O43" s="7" t="s">
        <v>845</v>
      </c>
      <c r="P43" s="7" t="s">
        <v>55</v>
      </c>
      <c r="Q43" s="7" t="s">
        <v>479</v>
      </c>
      <c r="R43" s="7"/>
    </row>
    <row r="44" spans="1:18" ht="140.1" customHeight="1">
      <c r="A44" s="6" t="s">
        <v>860</v>
      </c>
      <c r="B44" s="6" t="s">
        <v>843</v>
      </c>
      <c r="C44" s="6" t="s">
        <v>571</v>
      </c>
      <c r="D44" s="6" t="s">
        <v>48</v>
      </c>
      <c r="E44" s="6" t="s">
        <v>49</v>
      </c>
      <c r="F44" s="6" t="s">
        <v>794</v>
      </c>
      <c r="G44" s="6" t="s">
        <v>861</v>
      </c>
      <c r="H44" s="6" t="s">
        <v>574</v>
      </c>
      <c r="I44" s="8" t="s">
        <v>4</v>
      </c>
      <c r="J44" s="8"/>
      <c r="K44" s="8"/>
      <c r="L44" s="9"/>
      <c r="M44" s="8"/>
      <c r="N44" s="6" t="s">
        <v>53</v>
      </c>
      <c r="O44" s="6" t="s">
        <v>845</v>
      </c>
      <c r="P44" s="6" t="s">
        <v>55</v>
      </c>
      <c r="Q44" s="6" t="s">
        <v>56</v>
      </c>
      <c r="R44" s="6"/>
    </row>
    <row r="45" spans="1:18" ht="140.1" customHeight="1">
      <c r="A45" s="7" t="s">
        <v>862</v>
      </c>
      <c r="B45" s="7" t="s">
        <v>843</v>
      </c>
      <c r="C45" s="7" t="s">
        <v>576</v>
      </c>
      <c r="D45" s="7" t="s">
        <v>84</v>
      </c>
      <c r="E45" s="7" t="s">
        <v>49</v>
      </c>
      <c r="F45" s="7" t="s">
        <v>797</v>
      </c>
      <c r="G45" s="7" t="s">
        <v>863</v>
      </c>
      <c r="H45" s="7" t="s">
        <v>579</v>
      </c>
      <c r="I45" s="8" t="s">
        <v>4</v>
      </c>
      <c r="J45" s="8"/>
      <c r="K45" s="8"/>
      <c r="L45" s="9"/>
      <c r="M45" s="8"/>
      <c r="N45" s="7" t="s">
        <v>53</v>
      </c>
      <c r="O45" s="7" t="s">
        <v>845</v>
      </c>
      <c r="P45" s="7" t="s">
        <v>55</v>
      </c>
      <c r="Q45" s="7" t="s">
        <v>56</v>
      </c>
      <c r="R45" s="7"/>
    </row>
    <row r="46" spans="1:18" ht="140.1" customHeight="1">
      <c r="A46" s="6" t="s">
        <v>864</v>
      </c>
      <c r="B46" s="6" t="s">
        <v>843</v>
      </c>
      <c r="C46" s="6" t="s">
        <v>581</v>
      </c>
      <c r="D46" s="6" t="s">
        <v>48</v>
      </c>
      <c r="E46" s="6" t="s">
        <v>49</v>
      </c>
      <c r="F46" s="6" t="s">
        <v>800</v>
      </c>
      <c r="G46" s="6" t="s">
        <v>865</v>
      </c>
      <c r="H46" s="6" t="s">
        <v>584</v>
      </c>
      <c r="I46" s="8" t="s">
        <v>4</v>
      </c>
      <c r="J46" s="8"/>
      <c r="K46" s="8"/>
      <c r="L46" s="9"/>
      <c r="M46" s="8"/>
      <c r="N46" s="6" t="s">
        <v>53</v>
      </c>
      <c r="O46" s="6" t="s">
        <v>845</v>
      </c>
      <c r="P46" s="6" t="s">
        <v>55</v>
      </c>
      <c r="Q46" s="6" t="s">
        <v>585</v>
      </c>
      <c r="R46" s="6"/>
    </row>
    <row r="47" spans="1:18" ht="140.1" customHeight="1">
      <c r="A47" s="7" t="s">
        <v>866</v>
      </c>
      <c r="B47" s="7" t="s">
        <v>843</v>
      </c>
      <c r="C47" s="7" t="s">
        <v>587</v>
      </c>
      <c r="D47" s="7" t="s">
        <v>48</v>
      </c>
      <c r="E47" s="7" t="s">
        <v>49</v>
      </c>
      <c r="F47" s="7" t="s">
        <v>803</v>
      </c>
      <c r="G47" s="7" t="s">
        <v>865</v>
      </c>
      <c r="H47" s="7" t="s">
        <v>589</v>
      </c>
      <c r="I47" s="8" t="s">
        <v>4</v>
      </c>
      <c r="J47" s="8"/>
      <c r="K47" s="8"/>
      <c r="L47" s="9"/>
      <c r="M47" s="8"/>
      <c r="N47" s="7" t="s">
        <v>53</v>
      </c>
      <c r="O47" s="7" t="s">
        <v>845</v>
      </c>
      <c r="P47" s="7" t="s">
        <v>55</v>
      </c>
      <c r="Q47" s="7" t="s">
        <v>585</v>
      </c>
      <c r="R47" s="7"/>
    </row>
    <row r="48" spans="1:18" ht="140.1" customHeight="1">
      <c r="A48" s="6" t="s">
        <v>867</v>
      </c>
      <c r="B48" s="6" t="s">
        <v>843</v>
      </c>
      <c r="C48" s="6" t="s">
        <v>591</v>
      </c>
      <c r="D48" s="6" t="s">
        <v>84</v>
      </c>
      <c r="E48" s="6" t="s">
        <v>49</v>
      </c>
      <c r="F48" s="6" t="s">
        <v>771</v>
      </c>
      <c r="G48" s="6" t="s">
        <v>868</v>
      </c>
      <c r="H48" s="6" t="s">
        <v>593</v>
      </c>
      <c r="I48" s="8" t="s">
        <v>4</v>
      </c>
      <c r="J48" s="8"/>
      <c r="K48" s="8"/>
      <c r="L48" s="9"/>
      <c r="M48" s="8"/>
      <c r="N48" s="6" t="s">
        <v>53</v>
      </c>
      <c r="O48" s="6" t="s">
        <v>845</v>
      </c>
      <c r="P48" s="6" t="s">
        <v>55</v>
      </c>
      <c r="Q48" s="6" t="s">
        <v>56</v>
      </c>
      <c r="R48" s="6"/>
    </row>
    <row r="49" spans="1:18" ht="140.1" customHeight="1">
      <c r="A49" s="7" t="s">
        <v>869</v>
      </c>
      <c r="B49" s="7" t="s">
        <v>843</v>
      </c>
      <c r="C49" s="7" t="s">
        <v>633</v>
      </c>
      <c r="D49" s="7" t="s">
        <v>48</v>
      </c>
      <c r="E49" s="7" t="s">
        <v>49</v>
      </c>
      <c r="F49" s="7" t="s">
        <v>771</v>
      </c>
      <c r="G49" s="7" t="s">
        <v>870</v>
      </c>
      <c r="H49" s="7" t="s">
        <v>871</v>
      </c>
      <c r="I49" s="8" t="s">
        <v>4</v>
      </c>
      <c r="J49" s="8"/>
      <c r="K49" s="8"/>
      <c r="L49" s="9"/>
      <c r="M49" s="8"/>
      <c r="N49" s="7" t="s">
        <v>53</v>
      </c>
      <c r="O49" s="7" t="s">
        <v>845</v>
      </c>
      <c r="P49" s="7" t="s">
        <v>55</v>
      </c>
      <c r="Q49" s="7" t="s">
        <v>56</v>
      </c>
      <c r="R49" s="7"/>
    </row>
    <row r="50" spans="1:18" ht="140.1" customHeight="1">
      <c r="A50" s="6" t="s">
        <v>872</v>
      </c>
      <c r="B50" s="6" t="s">
        <v>843</v>
      </c>
      <c r="C50" s="6" t="s">
        <v>637</v>
      </c>
      <c r="D50" s="6" t="s">
        <v>48</v>
      </c>
      <c r="E50" s="6" t="s">
        <v>49</v>
      </c>
      <c r="F50" s="6" t="s">
        <v>771</v>
      </c>
      <c r="G50" s="6" t="s">
        <v>873</v>
      </c>
      <c r="H50" s="6" t="s">
        <v>639</v>
      </c>
      <c r="I50" s="8" t="s">
        <v>4</v>
      </c>
      <c r="J50" s="8"/>
      <c r="K50" s="8"/>
      <c r="L50" s="9"/>
      <c r="M50" s="8"/>
      <c r="N50" s="6" t="s">
        <v>53</v>
      </c>
      <c r="O50" s="6" t="s">
        <v>845</v>
      </c>
      <c r="P50" s="6" t="s">
        <v>55</v>
      </c>
      <c r="Q50" s="6" t="s">
        <v>56</v>
      </c>
      <c r="R50" s="6" t="s">
        <v>640</v>
      </c>
    </row>
    <row r="51" spans="1:18" ht="140.1" customHeight="1">
      <c r="A51" s="7" t="s">
        <v>874</v>
      </c>
      <c r="B51" s="7" t="s">
        <v>843</v>
      </c>
      <c r="C51" s="7" t="s">
        <v>600</v>
      </c>
      <c r="D51" s="7" t="s">
        <v>84</v>
      </c>
      <c r="E51" s="7" t="s">
        <v>49</v>
      </c>
      <c r="F51" s="7" t="s">
        <v>771</v>
      </c>
      <c r="G51" s="7" t="s">
        <v>875</v>
      </c>
      <c r="H51" s="7" t="s">
        <v>602</v>
      </c>
      <c r="I51" s="8" t="s">
        <v>4</v>
      </c>
      <c r="J51" s="8"/>
      <c r="K51" s="8"/>
      <c r="L51" s="9"/>
      <c r="M51" s="8"/>
      <c r="N51" s="7" t="s">
        <v>53</v>
      </c>
      <c r="O51" s="7" t="s">
        <v>845</v>
      </c>
      <c r="P51" s="7" t="s">
        <v>55</v>
      </c>
      <c r="Q51" s="7" t="s">
        <v>56</v>
      </c>
      <c r="R51" s="7"/>
    </row>
    <row r="52" spans="1:18" ht="140.1" customHeight="1">
      <c r="A52" s="6" t="s">
        <v>876</v>
      </c>
      <c r="B52" s="6" t="s">
        <v>877</v>
      </c>
      <c r="C52" s="6" t="s">
        <v>714</v>
      </c>
      <c r="D52" s="6" t="s">
        <v>84</v>
      </c>
      <c r="E52" s="6" t="s">
        <v>49</v>
      </c>
      <c r="F52" s="6" t="s">
        <v>878</v>
      </c>
      <c r="G52" s="6" t="s">
        <v>879</v>
      </c>
      <c r="H52" s="6" t="s">
        <v>717</v>
      </c>
      <c r="I52" s="8" t="s">
        <v>4</v>
      </c>
      <c r="J52" s="8"/>
      <c r="K52" s="8"/>
      <c r="L52" s="9"/>
      <c r="M52" s="8"/>
      <c r="N52" s="6" t="s">
        <v>53</v>
      </c>
      <c r="O52" s="6" t="s">
        <v>880</v>
      </c>
      <c r="P52" s="6" t="s">
        <v>55</v>
      </c>
      <c r="Q52" s="6" t="s">
        <v>56</v>
      </c>
      <c r="R52" s="6"/>
    </row>
    <row r="53" spans="1:18" ht="140.1" customHeight="1">
      <c r="A53" s="7" t="s">
        <v>881</v>
      </c>
      <c r="B53" s="7" t="s">
        <v>877</v>
      </c>
      <c r="C53" s="7" t="s">
        <v>720</v>
      </c>
      <c r="D53" s="7" t="s">
        <v>84</v>
      </c>
      <c r="E53" s="7" t="s">
        <v>49</v>
      </c>
      <c r="F53" s="7" t="s">
        <v>878</v>
      </c>
      <c r="G53" s="7" t="s">
        <v>882</v>
      </c>
      <c r="H53" s="7" t="s">
        <v>717</v>
      </c>
      <c r="I53" s="8" t="s">
        <v>4</v>
      </c>
      <c r="J53" s="8"/>
      <c r="K53" s="8"/>
      <c r="L53" s="9"/>
      <c r="M53" s="8"/>
      <c r="N53" s="7" t="s">
        <v>53</v>
      </c>
      <c r="O53" s="7" t="s">
        <v>880</v>
      </c>
      <c r="P53" s="7" t="s">
        <v>55</v>
      </c>
      <c r="Q53" s="7" t="s">
        <v>56</v>
      </c>
      <c r="R53" s="7"/>
    </row>
    <row r="54" spans="1:18" ht="140.1" customHeight="1">
      <c r="A54" s="6" t="s">
        <v>883</v>
      </c>
      <c r="B54" s="6" t="s">
        <v>877</v>
      </c>
      <c r="C54" s="6" t="s">
        <v>884</v>
      </c>
      <c r="D54" s="6" t="s">
        <v>84</v>
      </c>
      <c r="E54" s="6" t="s">
        <v>49</v>
      </c>
      <c r="F54" s="6" t="s">
        <v>878</v>
      </c>
      <c r="G54" s="6" t="s">
        <v>885</v>
      </c>
      <c r="H54" s="6" t="s">
        <v>717</v>
      </c>
      <c r="I54" s="8" t="s">
        <v>4</v>
      </c>
      <c r="J54" s="8"/>
      <c r="K54" s="8"/>
      <c r="L54" s="9"/>
      <c r="M54" s="8"/>
      <c r="N54" s="6" t="s">
        <v>53</v>
      </c>
      <c r="O54" s="6" t="s">
        <v>880</v>
      </c>
      <c r="P54" s="6" t="s">
        <v>55</v>
      </c>
      <c r="Q54" s="6" t="s">
        <v>56</v>
      </c>
      <c r="R54" s="6"/>
    </row>
    <row r="55" spans="1:18" ht="140.1" customHeight="1">
      <c r="A55" s="7" t="s">
        <v>886</v>
      </c>
      <c r="B55" s="7" t="s">
        <v>877</v>
      </c>
      <c r="C55" s="7" t="s">
        <v>726</v>
      </c>
      <c r="D55" s="7" t="s">
        <v>84</v>
      </c>
      <c r="E55" s="7" t="s">
        <v>49</v>
      </c>
      <c r="F55" s="7" t="s">
        <v>878</v>
      </c>
      <c r="G55" s="7" t="s">
        <v>887</v>
      </c>
      <c r="H55" s="7" t="s">
        <v>717</v>
      </c>
      <c r="I55" s="8" t="s">
        <v>4</v>
      </c>
      <c r="J55" s="8"/>
      <c r="K55" s="8"/>
      <c r="L55" s="9"/>
      <c r="M55" s="8"/>
      <c r="N55" s="7" t="s">
        <v>53</v>
      </c>
      <c r="O55" s="7" t="s">
        <v>880</v>
      </c>
      <c r="P55" s="7" t="s">
        <v>55</v>
      </c>
      <c r="Q55" s="7" t="s">
        <v>56</v>
      </c>
      <c r="R55" s="7"/>
    </row>
    <row r="56" spans="1:18" ht="140.1" customHeight="1">
      <c r="A56" s="6" t="s">
        <v>888</v>
      </c>
      <c r="B56" s="6" t="s">
        <v>877</v>
      </c>
      <c r="C56" s="6" t="s">
        <v>729</v>
      </c>
      <c r="D56" s="6" t="s">
        <v>84</v>
      </c>
      <c r="E56" s="6" t="s">
        <v>49</v>
      </c>
      <c r="F56" s="6" t="s">
        <v>730</v>
      </c>
      <c r="G56" s="6" t="s">
        <v>889</v>
      </c>
      <c r="H56" s="6" t="s">
        <v>732</v>
      </c>
      <c r="I56" s="8" t="s">
        <v>4</v>
      </c>
      <c r="J56" s="8"/>
      <c r="K56" s="8"/>
      <c r="L56" s="9"/>
      <c r="M56" s="8"/>
      <c r="N56" s="6" t="s">
        <v>53</v>
      </c>
      <c r="O56" s="6" t="s">
        <v>880</v>
      </c>
      <c r="P56" s="6" t="s">
        <v>55</v>
      </c>
      <c r="Q56" s="6" t="s">
        <v>56</v>
      </c>
      <c r="R56" s="6"/>
    </row>
    <row r="57" spans="1:18" ht="140.1" customHeight="1">
      <c r="A57" s="7" t="s">
        <v>890</v>
      </c>
      <c r="B57" s="7" t="s">
        <v>877</v>
      </c>
      <c r="C57" s="7" t="s">
        <v>734</v>
      </c>
      <c r="D57" s="7" t="s">
        <v>84</v>
      </c>
      <c r="E57" s="7" t="s">
        <v>49</v>
      </c>
      <c r="F57" s="7" t="s">
        <v>730</v>
      </c>
      <c r="G57" s="7" t="s">
        <v>891</v>
      </c>
      <c r="H57" s="7" t="s">
        <v>732</v>
      </c>
      <c r="I57" s="8" t="s">
        <v>4</v>
      </c>
      <c r="J57" s="8"/>
      <c r="K57" s="8"/>
      <c r="L57" s="9"/>
      <c r="M57" s="8"/>
      <c r="N57" s="7" t="s">
        <v>53</v>
      </c>
      <c r="O57" s="7" t="s">
        <v>880</v>
      </c>
      <c r="P57" s="7" t="s">
        <v>55</v>
      </c>
      <c r="Q57" s="7" t="s">
        <v>56</v>
      </c>
      <c r="R57" s="7"/>
    </row>
    <row r="58" spans="1:18" ht="140.1" customHeight="1">
      <c r="A58" s="6" t="s">
        <v>892</v>
      </c>
      <c r="B58" s="6" t="s">
        <v>877</v>
      </c>
      <c r="C58" s="6" t="s">
        <v>737</v>
      </c>
      <c r="D58" s="6" t="s">
        <v>738</v>
      </c>
      <c r="E58" s="6" t="s">
        <v>49</v>
      </c>
      <c r="F58" s="6" t="s">
        <v>739</v>
      </c>
      <c r="G58" s="6" t="s">
        <v>893</v>
      </c>
      <c r="H58" s="6" t="s">
        <v>741</v>
      </c>
      <c r="I58" s="8" t="s">
        <v>4</v>
      </c>
      <c r="J58" s="8"/>
      <c r="K58" s="8"/>
      <c r="L58" s="9"/>
      <c r="M58" s="8"/>
      <c r="N58" s="6" t="s">
        <v>53</v>
      </c>
      <c r="O58" s="6" t="s">
        <v>880</v>
      </c>
      <c r="P58" s="6" t="s">
        <v>55</v>
      </c>
      <c r="Q58" s="6" t="s">
        <v>56</v>
      </c>
      <c r="R58" s="6" t="s">
        <v>742</v>
      </c>
    </row>
    <row r="59" spans="1:18" ht="140.1" customHeight="1">
      <c r="A59" s="7" t="s">
        <v>894</v>
      </c>
      <c r="B59" s="7" t="s">
        <v>877</v>
      </c>
      <c r="C59" s="7" t="s">
        <v>744</v>
      </c>
      <c r="D59" s="7" t="s">
        <v>738</v>
      </c>
      <c r="E59" s="7" t="s">
        <v>49</v>
      </c>
      <c r="F59" s="7" t="s">
        <v>745</v>
      </c>
      <c r="G59" s="7" t="s">
        <v>893</v>
      </c>
      <c r="H59" s="7" t="s">
        <v>741</v>
      </c>
      <c r="I59" s="8" t="s">
        <v>4</v>
      </c>
      <c r="J59" s="8"/>
      <c r="K59" s="8"/>
      <c r="L59" s="9"/>
      <c r="M59" s="8"/>
      <c r="N59" s="7" t="s">
        <v>53</v>
      </c>
      <c r="O59" s="7" t="s">
        <v>880</v>
      </c>
      <c r="P59" s="7" t="s">
        <v>55</v>
      </c>
      <c r="Q59" s="7" t="s">
        <v>56</v>
      </c>
      <c r="R59" s="7" t="s">
        <v>742</v>
      </c>
    </row>
    <row r="60" spans="1:18" ht="140.1" customHeight="1">
      <c r="A60" s="6" t="s">
        <v>895</v>
      </c>
      <c r="B60" s="6" t="s">
        <v>877</v>
      </c>
      <c r="C60" s="6" t="s">
        <v>747</v>
      </c>
      <c r="D60" s="6" t="s">
        <v>738</v>
      </c>
      <c r="E60" s="6" t="s">
        <v>49</v>
      </c>
      <c r="F60" s="6" t="s">
        <v>748</v>
      </c>
      <c r="G60" s="6" t="s">
        <v>893</v>
      </c>
      <c r="H60" s="6" t="s">
        <v>741</v>
      </c>
      <c r="I60" s="8" t="s">
        <v>4</v>
      </c>
      <c r="J60" s="8"/>
      <c r="K60" s="8"/>
      <c r="L60" s="9"/>
      <c r="M60" s="8"/>
      <c r="N60" s="6" t="s">
        <v>53</v>
      </c>
      <c r="O60" s="6" t="s">
        <v>880</v>
      </c>
      <c r="P60" s="6" t="s">
        <v>55</v>
      </c>
      <c r="Q60" s="6" t="s">
        <v>56</v>
      </c>
      <c r="R60" s="6" t="s">
        <v>742</v>
      </c>
    </row>
    <row r="61" spans="1:18" ht="140.1" customHeight="1">
      <c r="A61" s="7" t="s">
        <v>896</v>
      </c>
      <c r="B61" s="7" t="s">
        <v>877</v>
      </c>
      <c r="C61" s="7" t="s">
        <v>750</v>
      </c>
      <c r="D61" s="7" t="s">
        <v>738</v>
      </c>
      <c r="E61" s="7" t="s">
        <v>49</v>
      </c>
      <c r="F61" s="7" t="s">
        <v>751</v>
      </c>
      <c r="G61" s="7" t="s">
        <v>893</v>
      </c>
      <c r="H61" s="7" t="s">
        <v>741</v>
      </c>
      <c r="I61" s="8" t="s">
        <v>4</v>
      </c>
      <c r="J61" s="8"/>
      <c r="K61" s="8"/>
      <c r="L61" s="9"/>
      <c r="M61" s="8"/>
      <c r="N61" s="7" t="s">
        <v>53</v>
      </c>
      <c r="O61" s="7" t="s">
        <v>880</v>
      </c>
      <c r="P61" s="7" t="s">
        <v>55</v>
      </c>
      <c r="Q61" s="7" t="s">
        <v>56</v>
      </c>
      <c r="R61" s="7" t="s">
        <v>742</v>
      </c>
    </row>
    <row r="62" spans="1:18" ht="140.1" customHeight="1">
      <c r="A62" s="6" t="s">
        <v>897</v>
      </c>
      <c r="B62" s="6" t="s">
        <v>898</v>
      </c>
      <c r="C62" s="6" t="s">
        <v>899</v>
      </c>
      <c r="D62" s="6" t="s">
        <v>48</v>
      </c>
      <c r="E62" s="6" t="s">
        <v>49</v>
      </c>
      <c r="F62" s="6" t="s">
        <v>900</v>
      </c>
      <c r="G62" s="6" t="s">
        <v>901</v>
      </c>
      <c r="H62" s="6" t="s">
        <v>902</v>
      </c>
      <c r="I62" s="8" t="s">
        <v>4</v>
      </c>
      <c r="J62" s="8"/>
      <c r="K62" s="8"/>
      <c r="L62" s="9"/>
      <c r="M62" s="8"/>
      <c r="N62" s="6" t="s">
        <v>53</v>
      </c>
      <c r="O62" s="6" t="s">
        <v>903</v>
      </c>
      <c r="P62" s="6" t="s">
        <v>55</v>
      </c>
      <c r="Q62" s="6" t="s">
        <v>56</v>
      </c>
      <c r="R62" s="6" t="s">
        <v>904</v>
      </c>
    </row>
    <row r="63" spans="1:18" ht="140.1" customHeight="1">
      <c r="A63" s="7" t="s">
        <v>905</v>
      </c>
      <c r="B63" s="7" t="s">
        <v>906</v>
      </c>
      <c r="C63" s="7" t="s">
        <v>762</v>
      </c>
      <c r="D63" s="7" t="s">
        <v>48</v>
      </c>
      <c r="E63" s="7" t="s">
        <v>49</v>
      </c>
      <c r="F63" s="7" t="s">
        <v>763</v>
      </c>
      <c r="G63" s="7" t="s">
        <v>764</v>
      </c>
      <c r="H63" s="7" t="s">
        <v>907</v>
      </c>
      <c r="I63" s="8" t="s">
        <v>4</v>
      </c>
      <c r="J63" s="8"/>
      <c r="K63" s="8"/>
      <c r="L63" s="9"/>
      <c r="M63" s="8"/>
      <c r="N63" s="7" t="s">
        <v>53</v>
      </c>
      <c r="O63" s="7" t="s">
        <v>908</v>
      </c>
      <c r="P63" s="7" t="s">
        <v>55</v>
      </c>
      <c r="Q63" s="7" t="s">
        <v>56</v>
      </c>
      <c r="R63" s="7" t="s">
        <v>767</v>
      </c>
    </row>
    <row r="64" spans="1:18" ht="140.1" customHeight="1">
      <c r="A64" s="6" t="s">
        <v>909</v>
      </c>
      <c r="B64" s="6" t="s">
        <v>910</v>
      </c>
      <c r="C64" s="6" t="s">
        <v>911</v>
      </c>
      <c r="D64" s="6" t="s">
        <v>48</v>
      </c>
      <c r="E64" s="6" t="s">
        <v>49</v>
      </c>
      <c r="F64" s="6" t="s">
        <v>912</v>
      </c>
      <c r="G64" s="6" t="s">
        <v>913</v>
      </c>
      <c r="H64" s="6" t="s">
        <v>914</v>
      </c>
      <c r="I64" s="8" t="s">
        <v>4</v>
      </c>
      <c r="J64" s="8"/>
      <c r="K64" s="8"/>
      <c r="L64" s="9"/>
      <c r="M64" s="8"/>
      <c r="N64" s="6" t="s">
        <v>53</v>
      </c>
      <c r="O64" s="6" t="s">
        <v>908</v>
      </c>
      <c r="P64" s="6" t="s">
        <v>55</v>
      </c>
      <c r="Q64" s="6" t="s">
        <v>56</v>
      </c>
      <c r="R64" s="6"/>
    </row>
  </sheetData>
  <conditionalFormatting sqref="I6:I64">
    <cfRule type="cellIs" dxfId="9" priority="1" operator="equal">
      <formula>"فشلت"</formula>
    </cfRule>
    <cfRule type="cellIs" dxfId="8" priority="2" operator="equal">
      <formula>"محجوبة"</formula>
    </cfRule>
  </conditionalFormatting>
  <dataValidations count="1">
    <dataValidation type="list" sqref="I6:I64" xr:uid="{00000000-0002-0000-0600-000000000000}">
      <formula1>"لم تنفذ,نجحت,فشلت,محجوبة,غير منطبقة"</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50"/>
  <sheetViews>
    <sheetView showGridLines="0" rightToLeft="1" zoomScale="85" workbookViewId="0">
      <pane xSplit="2" ySplit="5" topLeftCell="C6" activePane="bottomRight" state="frozen"/>
      <selection pane="topRight"/>
      <selection pane="bottomLeft"/>
      <selection pane="bottomRight" activeCell="C6" sqref="C6"/>
    </sheetView>
  </sheetViews>
  <sheetFormatPr defaultRowHeight="14.25"/>
  <cols>
    <col min="1" max="1" width="14" customWidth="1"/>
    <col min="2" max="2" width="25" customWidth="1"/>
    <col min="3" max="3" width="40" customWidth="1"/>
    <col min="4" max="4" width="13" customWidth="1"/>
    <col min="5" max="5" width="48" customWidth="1"/>
    <col min="6" max="6" width="50" customWidth="1"/>
    <col min="7" max="8" width="72" customWidth="1"/>
    <col min="9" max="9" width="17" customWidth="1"/>
    <col min="10" max="10" width="45" customWidth="1"/>
    <col min="11" max="11" width="20" customWidth="1"/>
    <col min="12" max="13" width="18" customWidth="1"/>
    <col min="14" max="14" width="52" customWidth="1"/>
    <col min="15" max="15" width="66" customWidth="1"/>
    <col min="16" max="16" width="26" customWidth="1"/>
    <col min="17" max="17" width="23" customWidth="1"/>
    <col min="18" max="18" width="56" customWidth="1"/>
  </cols>
  <sheetData>
    <row r="1" spans="1:18">
      <c r="A1" s="1"/>
      <c r="B1" s="1"/>
      <c r="C1" s="1"/>
      <c r="D1" s="1"/>
      <c r="E1" s="1"/>
      <c r="F1" s="1"/>
      <c r="G1" s="1"/>
      <c r="H1" s="1"/>
      <c r="I1" s="1"/>
      <c r="J1" s="1"/>
      <c r="K1" s="1"/>
      <c r="L1" s="1"/>
      <c r="M1" s="1"/>
      <c r="N1" s="1"/>
      <c r="O1" s="1"/>
      <c r="P1" s="1"/>
      <c r="Q1" s="1"/>
      <c r="R1" s="1"/>
    </row>
    <row r="2" spans="1:18" ht="30" customHeight="1">
      <c r="A2" s="2" t="s">
        <v>915</v>
      </c>
      <c r="B2" s="1"/>
      <c r="C2" s="1"/>
      <c r="D2" s="1"/>
      <c r="E2" s="1"/>
      <c r="F2" s="1"/>
      <c r="G2" s="1"/>
      <c r="H2" s="1"/>
      <c r="I2" s="1"/>
      <c r="J2" s="1"/>
      <c r="K2" s="1"/>
      <c r="L2" s="1"/>
      <c r="M2" s="1"/>
      <c r="N2" s="1"/>
      <c r="O2" s="1"/>
      <c r="P2" s="1"/>
      <c r="Q2" s="1"/>
      <c r="R2" s="1"/>
    </row>
    <row r="3" spans="1:18">
      <c r="A3" s="3" t="s">
        <v>26</v>
      </c>
      <c r="B3" s="1"/>
      <c r="C3" s="1"/>
      <c r="D3" s="1"/>
      <c r="E3" s="1"/>
      <c r="F3" s="1"/>
      <c r="G3" s="1"/>
      <c r="H3" s="1"/>
      <c r="I3" s="1"/>
      <c r="J3" s="1"/>
      <c r="K3" s="1"/>
      <c r="L3" s="1"/>
      <c r="M3" s="1"/>
      <c r="N3" s="1"/>
      <c r="O3" s="1"/>
      <c r="P3" s="1"/>
      <c r="Q3" s="1"/>
      <c r="R3" s="1"/>
    </row>
    <row r="4" spans="1:18">
      <c r="A4" s="1"/>
      <c r="B4" s="1"/>
      <c r="C4" s="1"/>
      <c r="D4" s="1"/>
      <c r="E4" s="1"/>
      <c r="F4" s="1"/>
      <c r="G4" s="1"/>
      <c r="H4" s="1"/>
      <c r="I4" s="1"/>
      <c r="J4" s="1"/>
      <c r="K4" s="1"/>
      <c r="L4" s="1"/>
      <c r="M4" s="1"/>
      <c r="N4" s="1"/>
      <c r="O4" s="1"/>
      <c r="P4" s="1"/>
      <c r="Q4" s="1"/>
      <c r="R4" s="1"/>
    </row>
    <row r="5" spans="1:18" ht="36" customHeight="1">
      <c r="A5" s="5" t="s">
        <v>27</v>
      </c>
      <c r="B5" s="5" t="s">
        <v>28</v>
      </c>
      <c r="C5" s="5" t="s">
        <v>29</v>
      </c>
      <c r="D5" s="5" t="s">
        <v>30</v>
      </c>
      <c r="E5" s="5" t="s">
        <v>31</v>
      </c>
      <c r="F5" s="5" t="s">
        <v>32</v>
      </c>
      <c r="G5" s="5" t="s">
        <v>33</v>
      </c>
      <c r="H5" s="5" t="s">
        <v>34</v>
      </c>
      <c r="I5" s="5" t="s">
        <v>35</v>
      </c>
      <c r="J5" s="5" t="s">
        <v>36</v>
      </c>
      <c r="K5" s="5" t="s">
        <v>37</v>
      </c>
      <c r="L5" s="5" t="s">
        <v>38</v>
      </c>
      <c r="M5" s="5" t="s">
        <v>39</v>
      </c>
      <c r="N5" s="5" t="s">
        <v>40</v>
      </c>
      <c r="O5" s="5" t="s">
        <v>41</v>
      </c>
      <c r="P5" s="5" t="s">
        <v>42</v>
      </c>
      <c r="Q5" s="5" t="s">
        <v>43</v>
      </c>
      <c r="R5" s="5" t="s">
        <v>44</v>
      </c>
    </row>
    <row r="6" spans="1:18" ht="140.1" customHeight="1">
      <c r="A6" s="6" t="s">
        <v>916</v>
      </c>
      <c r="B6" s="6" t="s">
        <v>917</v>
      </c>
      <c r="C6" s="6" t="s">
        <v>918</v>
      </c>
      <c r="D6" s="6" t="s">
        <v>48</v>
      </c>
      <c r="E6" s="6" t="s">
        <v>49</v>
      </c>
      <c r="F6" s="6" t="s">
        <v>919</v>
      </c>
      <c r="G6" s="6" t="s">
        <v>920</v>
      </c>
      <c r="H6" s="6" t="s">
        <v>921</v>
      </c>
      <c r="I6" s="8" t="s">
        <v>4</v>
      </c>
      <c r="J6" s="8"/>
      <c r="K6" s="8"/>
      <c r="L6" s="9"/>
      <c r="M6" s="8"/>
      <c r="N6" s="6" t="s">
        <v>53</v>
      </c>
      <c r="O6" s="6" t="s">
        <v>922</v>
      </c>
      <c r="P6" s="6" t="s">
        <v>55</v>
      </c>
      <c r="Q6" s="6" t="s">
        <v>56</v>
      </c>
      <c r="R6" s="6"/>
    </row>
    <row r="7" spans="1:18" ht="140.1" customHeight="1">
      <c r="A7" s="7" t="s">
        <v>923</v>
      </c>
      <c r="B7" s="7" t="s">
        <v>917</v>
      </c>
      <c r="C7" s="7" t="s">
        <v>924</v>
      </c>
      <c r="D7" s="7" t="s">
        <v>48</v>
      </c>
      <c r="E7" s="7" t="s">
        <v>49</v>
      </c>
      <c r="F7" s="7" t="s">
        <v>925</v>
      </c>
      <c r="G7" s="7" t="s">
        <v>926</v>
      </c>
      <c r="H7" s="7" t="s">
        <v>927</v>
      </c>
      <c r="I7" s="8" t="s">
        <v>4</v>
      </c>
      <c r="J7" s="8"/>
      <c r="K7" s="8"/>
      <c r="L7" s="9"/>
      <c r="M7" s="8"/>
      <c r="N7" s="7" t="s">
        <v>53</v>
      </c>
      <c r="O7" s="7" t="s">
        <v>922</v>
      </c>
      <c r="P7" s="7" t="s">
        <v>55</v>
      </c>
      <c r="Q7" s="7" t="s">
        <v>551</v>
      </c>
      <c r="R7" s="7"/>
    </row>
    <row r="8" spans="1:18" ht="140.1" customHeight="1">
      <c r="A8" s="6" t="s">
        <v>928</v>
      </c>
      <c r="B8" s="6" t="s">
        <v>917</v>
      </c>
      <c r="C8" s="6" t="s">
        <v>929</v>
      </c>
      <c r="D8" s="6" t="s">
        <v>48</v>
      </c>
      <c r="E8" s="6" t="s">
        <v>49</v>
      </c>
      <c r="F8" s="6" t="s">
        <v>930</v>
      </c>
      <c r="G8" s="6" t="s">
        <v>926</v>
      </c>
      <c r="H8" s="6" t="s">
        <v>927</v>
      </c>
      <c r="I8" s="8" t="s">
        <v>4</v>
      </c>
      <c r="J8" s="8"/>
      <c r="K8" s="8"/>
      <c r="L8" s="9"/>
      <c r="M8" s="8"/>
      <c r="N8" s="6" t="s">
        <v>53</v>
      </c>
      <c r="O8" s="6" t="s">
        <v>922</v>
      </c>
      <c r="P8" s="6" t="s">
        <v>55</v>
      </c>
      <c r="Q8" s="6" t="s">
        <v>551</v>
      </c>
      <c r="R8" s="6"/>
    </row>
    <row r="9" spans="1:18" ht="140.1" customHeight="1">
      <c r="A9" s="7" t="s">
        <v>931</v>
      </c>
      <c r="B9" s="7" t="s">
        <v>917</v>
      </c>
      <c r="C9" s="7" t="s">
        <v>932</v>
      </c>
      <c r="D9" s="7" t="s">
        <v>84</v>
      </c>
      <c r="E9" s="7" t="s">
        <v>49</v>
      </c>
      <c r="F9" s="7" t="s">
        <v>919</v>
      </c>
      <c r="G9" s="7" t="s">
        <v>933</v>
      </c>
      <c r="H9" s="7" t="s">
        <v>934</v>
      </c>
      <c r="I9" s="8" t="s">
        <v>4</v>
      </c>
      <c r="J9" s="8"/>
      <c r="K9" s="8"/>
      <c r="L9" s="9"/>
      <c r="M9" s="8"/>
      <c r="N9" s="7" t="s">
        <v>53</v>
      </c>
      <c r="O9" s="7" t="s">
        <v>922</v>
      </c>
      <c r="P9" s="7" t="s">
        <v>55</v>
      </c>
      <c r="Q9" s="7" t="s">
        <v>56</v>
      </c>
      <c r="R9" s="7"/>
    </row>
    <row r="10" spans="1:18" ht="140.1" customHeight="1">
      <c r="A10" s="6" t="s">
        <v>935</v>
      </c>
      <c r="B10" s="6" t="s">
        <v>917</v>
      </c>
      <c r="C10" s="6" t="s">
        <v>936</v>
      </c>
      <c r="D10" s="6" t="s">
        <v>84</v>
      </c>
      <c r="E10" s="6" t="s">
        <v>49</v>
      </c>
      <c r="F10" s="6" t="s">
        <v>919</v>
      </c>
      <c r="G10" s="6" t="s">
        <v>933</v>
      </c>
      <c r="H10" s="6" t="s">
        <v>934</v>
      </c>
      <c r="I10" s="8" t="s">
        <v>4</v>
      </c>
      <c r="J10" s="8"/>
      <c r="K10" s="8"/>
      <c r="L10" s="9"/>
      <c r="M10" s="8"/>
      <c r="N10" s="6" t="s">
        <v>53</v>
      </c>
      <c r="O10" s="6" t="s">
        <v>922</v>
      </c>
      <c r="P10" s="6" t="s">
        <v>55</v>
      </c>
      <c r="Q10" s="6" t="s">
        <v>56</v>
      </c>
      <c r="R10" s="6"/>
    </row>
    <row r="11" spans="1:18" ht="140.1" customHeight="1">
      <c r="A11" s="7" t="s">
        <v>937</v>
      </c>
      <c r="B11" s="7" t="s">
        <v>917</v>
      </c>
      <c r="C11" s="7" t="s">
        <v>938</v>
      </c>
      <c r="D11" s="7" t="s">
        <v>84</v>
      </c>
      <c r="E11" s="7" t="s">
        <v>49</v>
      </c>
      <c r="F11" s="7" t="s">
        <v>919</v>
      </c>
      <c r="G11" s="7" t="s">
        <v>933</v>
      </c>
      <c r="H11" s="7" t="s">
        <v>934</v>
      </c>
      <c r="I11" s="8" t="s">
        <v>4</v>
      </c>
      <c r="J11" s="8"/>
      <c r="K11" s="8"/>
      <c r="L11" s="9"/>
      <c r="M11" s="8"/>
      <c r="N11" s="7" t="s">
        <v>53</v>
      </c>
      <c r="O11" s="7" t="s">
        <v>922</v>
      </c>
      <c r="P11" s="7" t="s">
        <v>55</v>
      </c>
      <c r="Q11" s="7" t="s">
        <v>56</v>
      </c>
      <c r="R11" s="7"/>
    </row>
    <row r="12" spans="1:18" ht="140.1" customHeight="1">
      <c r="A12" s="6" t="s">
        <v>939</v>
      </c>
      <c r="B12" s="6" t="s">
        <v>917</v>
      </c>
      <c r="C12" s="6" t="s">
        <v>940</v>
      </c>
      <c r="D12" s="6" t="s">
        <v>48</v>
      </c>
      <c r="E12" s="6" t="s">
        <v>49</v>
      </c>
      <c r="F12" s="6" t="s">
        <v>919</v>
      </c>
      <c r="G12" s="6" t="s">
        <v>941</v>
      </c>
      <c r="H12" s="6" t="s">
        <v>942</v>
      </c>
      <c r="I12" s="8" t="s">
        <v>4</v>
      </c>
      <c r="J12" s="8"/>
      <c r="K12" s="8"/>
      <c r="L12" s="9"/>
      <c r="M12" s="8"/>
      <c r="N12" s="6" t="s">
        <v>53</v>
      </c>
      <c r="O12" s="6" t="s">
        <v>922</v>
      </c>
      <c r="P12" s="6" t="s">
        <v>55</v>
      </c>
      <c r="Q12" s="6" t="s">
        <v>56</v>
      </c>
      <c r="R12" s="6"/>
    </row>
    <row r="13" spans="1:18" ht="140.1" customHeight="1">
      <c r="A13" s="7" t="s">
        <v>943</v>
      </c>
      <c r="B13" s="7" t="s">
        <v>917</v>
      </c>
      <c r="C13" s="7" t="s">
        <v>510</v>
      </c>
      <c r="D13" s="7" t="s">
        <v>84</v>
      </c>
      <c r="E13" s="7" t="s">
        <v>49</v>
      </c>
      <c r="F13" s="7" t="s">
        <v>919</v>
      </c>
      <c r="G13" s="7" t="s">
        <v>944</v>
      </c>
      <c r="H13" s="7" t="s">
        <v>945</v>
      </c>
      <c r="I13" s="8" t="s">
        <v>4</v>
      </c>
      <c r="J13" s="8"/>
      <c r="K13" s="8"/>
      <c r="L13" s="9"/>
      <c r="M13" s="8"/>
      <c r="N13" s="7" t="s">
        <v>53</v>
      </c>
      <c r="O13" s="7" t="s">
        <v>922</v>
      </c>
      <c r="P13" s="7" t="s">
        <v>55</v>
      </c>
      <c r="Q13" s="7" t="s">
        <v>56</v>
      </c>
      <c r="R13" s="7"/>
    </row>
    <row r="14" spans="1:18" ht="140.1" customHeight="1">
      <c r="A14" s="6" t="s">
        <v>946</v>
      </c>
      <c r="B14" s="6" t="s">
        <v>917</v>
      </c>
      <c r="C14" s="6" t="s">
        <v>519</v>
      </c>
      <c r="D14" s="6" t="s">
        <v>84</v>
      </c>
      <c r="E14" s="6" t="s">
        <v>49</v>
      </c>
      <c r="F14" s="6" t="s">
        <v>919</v>
      </c>
      <c r="G14" s="6" t="s">
        <v>947</v>
      </c>
      <c r="H14" s="6" t="s">
        <v>945</v>
      </c>
      <c r="I14" s="8" t="s">
        <v>4</v>
      </c>
      <c r="J14" s="8"/>
      <c r="K14" s="8"/>
      <c r="L14" s="9"/>
      <c r="M14" s="8"/>
      <c r="N14" s="6" t="s">
        <v>53</v>
      </c>
      <c r="O14" s="6" t="s">
        <v>922</v>
      </c>
      <c r="P14" s="6" t="s">
        <v>55</v>
      </c>
      <c r="Q14" s="6" t="s">
        <v>56</v>
      </c>
      <c r="R14" s="6"/>
    </row>
    <row r="15" spans="1:18" ht="140.1" customHeight="1">
      <c r="A15" s="7" t="s">
        <v>948</v>
      </c>
      <c r="B15" s="7" t="s">
        <v>949</v>
      </c>
      <c r="C15" s="7" t="s">
        <v>918</v>
      </c>
      <c r="D15" s="7" t="s">
        <v>48</v>
      </c>
      <c r="E15" s="7" t="s">
        <v>49</v>
      </c>
      <c r="F15" s="7" t="s">
        <v>919</v>
      </c>
      <c r="G15" s="7" t="s">
        <v>950</v>
      </c>
      <c r="H15" s="7" t="s">
        <v>951</v>
      </c>
      <c r="I15" s="8" t="s">
        <v>4</v>
      </c>
      <c r="J15" s="8"/>
      <c r="K15" s="8"/>
      <c r="L15" s="9"/>
      <c r="M15" s="8"/>
      <c r="N15" s="7" t="s">
        <v>53</v>
      </c>
      <c r="O15" s="7" t="s">
        <v>952</v>
      </c>
      <c r="P15" s="7" t="s">
        <v>55</v>
      </c>
      <c r="Q15" s="7" t="s">
        <v>56</v>
      </c>
      <c r="R15" s="7"/>
    </row>
    <row r="16" spans="1:18" ht="140.1" customHeight="1">
      <c r="A16" s="6" t="s">
        <v>953</v>
      </c>
      <c r="B16" s="6" t="s">
        <v>949</v>
      </c>
      <c r="C16" s="6" t="s">
        <v>924</v>
      </c>
      <c r="D16" s="6" t="s">
        <v>48</v>
      </c>
      <c r="E16" s="6" t="s">
        <v>49</v>
      </c>
      <c r="F16" s="6" t="s">
        <v>925</v>
      </c>
      <c r="G16" s="6" t="s">
        <v>954</v>
      </c>
      <c r="H16" s="6" t="s">
        <v>927</v>
      </c>
      <c r="I16" s="8" t="s">
        <v>4</v>
      </c>
      <c r="J16" s="8"/>
      <c r="K16" s="8"/>
      <c r="L16" s="9"/>
      <c r="M16" s="8"/>
      <c r="N16" s="6" t="s">
        <v>53</v>
      </c>
      <c r="O16" s="6" t="s">
        <v>952</v>
      </c>
      <c r="P16" s="6" t="s">
        <v>55</v>
      </c>
      <c r="Q16" s="6" t="s">
        <v>551</v>
      </c>
      <c r="R16" s="6"/>
    </row>
    <row r="17" spans="1:18" ht="140.1" customHeight="1">
      <c r="A17" s="7" t="s">
        <v>955</v>
      </c>
      <c r="B17" s="7" t="s">
        <v>949</v>
      </c>
      <c r="C17" s="7" t="s">
        <v>929</v>
      </c>
      <c r="D17" s="7" t="s">
        <v>48</v>
      </c>
      <c r="E17" s="7" t="s">
        <v>49</v>
      </c>
      <c r="F17" s="7" t="s">
        <v>930</v>
      </c>
      <c r="G17" s="7" t="s">
        <v>954</v>
      </c>
      <c r="H17" s="7" t="s">
        <v>927</v>
      </c>
      <c r="I17" s="8" t="s">
        <v>4</v>
      </c>
      <c r="J17" s="8"/>
      <c r="K17" s="8"/>
      <c r="L17" s="9"/>
      <c r="M17" s="8"/>
      <c r="N17" s="7" t="s">
        <v>53</v>
      </c>
      <c r="O17" s="7" t="s">
        <v>952</v>
      </c>
      <c r="P17" s="7" t="s">
        <v>55</v>
      </c>
      <c r="Q17" s="7" t="s">
        <v>551</v>
      </c>
      <c r="R17" s="7"/>
    </row>
    <row r="18" spans="1:18" ht="140.1" customHeight="1">
      <c r="A18" s="6" t="s">
        <v>956</v>
      </c>
      <c r="B18" s="6" t="s">
        <v>949</v>
      </c>
      <c r="C18" s="6" t="s">
        <v>932</v>
      </c>
      <c r="D18" s="6" t="s">
        <v>84</v>
      </c>
      <c r="E18" s="6" t="s">
        <v>49</v>
      </c>
      <c r="F18" s="6" t="s">
        <v>919</v>
      </c>
      <c r="G18" s="6" t="s">
        <v>957</v>
      </c>
      <c r="H18" s="6" t="s">
        <v>934</v>
      </c>
      <c r="I18" s="8" t="s">
        <v>4</v>
      </c>
      <c r="J18" s="8"/>
      <c r="K18" s="8"/>
      <c r="L18" s="9"/>
      <c r="M18" s="8"/>
      <c r="N18" s="6" t="s">
        <v>53</v>
      </c>
      <c r="O18" s="6" t="s">
        <v>952</v>
      </c>
      <c r="P18" s="6" t="s">
        <v>55</v>
      </c>
      <c r="Q18" s="6" t="s">
        <v>56</v>
      </c>
      <c r="R18" s="6"/>
    </row>
    <row r="19" spans="1:18" ht="140.1" customHeight="1">
      <c r="A19" s="7" t="s">
        <v>958</v>
      </c>
      <c r="B19" s="7" t="s">
        <v>949</v>
      </c>
      <c r="C19" s="7" t="s">
        <v>936</v>
      </c>
      <c r="D19" s="7" t="s">
        <v>84</v>
      </c>
      <c r="E19" s="7" t="s">
        <v>49</v>
      </c>
      <c r="F19" s="7" t="s">
        <v>919</v>
      </c>
      <c r="G19" s="7" t="s">
        <v>957</v>
      </c>
      <c r="H19" s="7" t="s">
        <v>934</v>
      </c>
      <c r="I19" s="8" t="s">
        <v>4</v>
      </c>
      <c r="J19" s="8"/>
      <c r="K19" s="8"/>
      <c r="L19" s="9"/>
      <c r="M19" s="8"/>
      <c r="N19" s="7" t="s">
        <v>53</v>
      </c>
      <c r="O19" s="7" t="s">
        <v>952</v>
      </c>
      <c r="P19" s="7" t="s">
        <v>55</v>
      </c>
      <c r="Q19" s="7" t="s">
        <v>56</v>
      </c>
      <c r="R19" s="7"/>
    </row>
    <row r="20" spans="1:18" ht="140.1" customHeight="1">
      <c r="A20" s="6" t="s">
        <v>959</v>
      </c>
      <c r="B20" s="6" t="s">
        <v>949</v>
      </c>
      <c r="C20" s="6" t="s">
        <v>938</v>
      </c>
      <c r="D20" s="6" t="s">
        <v>84</v>
      </c>
      <c r="E20" s="6" t="s">
        <v>49</v>
      </c>
      <c r="F20" s="6" t="s">
        <v>919</v>
      </c>
      <c r="G20" s="6" t="s">
        <v>957</v>
      </c>
      <c r="H20" s="6" t="s">
        <v>934</v>
      </c>
      <c r="I20" s="8" t="s">
        <v>4</v>
      </c>
      <c r="J20" s="8"/>
      <c r="K20" s="8"/>
      <c r="L20" s="9"/>
      <c r="M20" s="8"/>
      <c r="N20" s="6" t="s">
        <v>53</v>
      </c>
      <c r="O20" s="6" t="s">
        <v>952</v>
      </c>
      <c r="P20" s="6" t="s">
        <v>55</v>
      </c>
      <c r="Q20" s="6" t="s">
        <v>56</v>
      </c>
      <c r="R20" s="6"/>
    </row>
    <row r="21" spans="1:18" ht="140.1" customHeight="1">
      <c r="A21" s="7" t="s">
        <v>960</v>
      </c>
      <c r="B21" s="7" t="s">
        <v>949</v>
      </c>
      <c r="C21" s="7" t="s">
        <v>940</v>
      </c>
      <c r="D21" s="7" t="s">
        <v>48</v>
      </c>
      <c r="E21" s="7" t="s">
        <v>49</v>
      </c>
      <c r="F21" s="7" t="s">
        <v>919</v>
      </c>
      <c r="G21" s="7" t="s">
        <v>961</v>
      </c>
      <c r="H21" s="7" t="s">
        <v>942</v>
      </c>
      <c r="I21" s="8" t="s">
        <v>4</v>
      </c>
      <c r="J21" s="8"/>
      <c r="K21" s="8"/>
      <c r="L21" s="9"/>
      <c r="M21" s="8"/>
      <c r="N21" s="7" t="s">
        <v>53</v>
      </c>
      <c r="O21" s="7" t="s">
        <v>952</v>
      </c>
      <c r="P21" s="7" t="s">
        <v>55</v>
      </c>
      <c r="Q21" s="7" t="s">
        <v>56</v>
      </c>
      <c r="R21" s="7"/>
    </row>
    <row r="22" spans="1:18" ht="140.1" customHeight="1">
      <c r="A22" s="6" t="s">
        <v>962</v>
      </c>
      <c r="B22" s="6" t="s">
        <v>949</v>
      </c>
      <c r="C22" s="6" t="s">
        <v>510</v>
      </c>
      <c r="D22" s="6" t="s">
        <v>84</v>
      </c>
      <c r="E22" s="6" t="s">
        <v>49</v>
      </c>
      <c r="F22" s="6" t="s">
        <v>919</v>
      </c>
      <c r="G22" s="6" t="s">
        <v>963</v>
      </c>
      <c r="H22" s="6" t="s">
        <v>945</v>
      </c>
      <c r="I22" s="8" t="s">
        <v>4</v>
      </c>
      <c r="J22" s="8"/>
      <c r="K22" s="8"/>
      <c r="L22" s="9"/>
      <c r="M22" s="8"/>
      <c r="N22" s="6" t="s">
        <v>53</v>
      </c>
      <c r="O22" s="6" t="s">
        <v>952</v>
      </c>
      <c r="P22" s="6" t="s">
        <v>55</v>
      </c>
      <c r="Q22" s="6" t="s">
        <v>56</v>
      </c>
      <c r="R22" s="6"/>
    </row>
    <row r="23" spans="1:18" ht="140.1" customHeight="1">
      <c r="A23" s="7" t="s">
        <v>964</v>
      </c>
      <c r="B23" s="7" t="s">
        <v>949</v>
      </c>
      <c r="C23" s="7" t="s">
        <v>519</v>
      </c>
      <c r="D23" s="7" t="s">
        <v>84</v>
      </c>
      <c r="E23" s="7" t="s">
        <v>49</v>
      </c>
      <c r="F23" s="7" t="s">
        <v>919</v>
      </c>
      <c r="G23" s="7" t="s">
        <v>965</v>
      </c>
      <c r="H23" s="7" t="s">
        <v>945</v>
      </c>
      <c r="I23" s="8" t="s">
        <v>4</v>
      </c>
      <c r="J23" s="8"/>
      <c r="K23" s="8"/>
      <c r="L23" s="9"/>
      <c r="M23" s="8"/>
      <c r="N23" s="7" t="s">
        <v>53</v>
      </c>
      <c r="O23" s="7" t="s">
        <v>952</v>
      </c>
      <c r="P23" s="7" t="s">
        <v>55</v>
      </c>
      <c r="Q23" s="7" t="s">
        <v>56</v>
      </c>
      <c r="R23" s="7"/>
    </row>
    <row r="24" spans="1:18" ht="140.1" customHeight="1">
      <c r="A24" s="6" t="s">
        <v>966</v>
      </c>
      <c r="B24" s="6" t="s">
        <v>967</v>
      </c>
      <c r="C24" s="6" t="s">
        <v>918</v>
      </c>
      <c r="D24" s="6" t="s">
        <v>48</v>
      </c>
      <c r="E24" s="6" t="s">
        <v>49</v>
      </c>
      <c r="F24" s="6" t="s">
        <v>919</v>
      </c>
      <c r="G24" s="6" t="s">
        <v>968</v>
      </c>
      <c r="H24" s="6" t="s">
        <v>969</v>
      </c>
      <c r="I24" s="8" t="s">
        <v>4</v>
      </c>
      <c r="J24" s="8"/>
      <c r="K24" s="8"/>
      <c r="L24" s="9"/>
      <c r="M24" s="8"/>
      <c r="N24" s="6" t="s">
        <v>53</v>
      </c>
      <c r="O24" s="6" t="s">
        <v>970</v>
      </c>
      <c r="P24" s="6" t="s">
        <v>55</v>
      </c>
      <c r="Q24" s="6" t="s">
        <v>56</v>
      </c>
      <c r="R24" s="6"/>
    </row>
    <row r="25" spans="1:18" ht="140.1" customHeight="1">
      <c r="A25" s="7" t="s">
        <v>971</v>
      </c>
      <c r="B25" s="7" t="s">
        <v>967</v>
      </c>
      <c r="C25" s="7" t="s">
        <v>924</v>
      </c>
      <c r="D25" s="7" t="s">
        <v>48</v>
      </c>
      <c r="E25" s="7" t="s">
        <v>49</v>
      </c>
      <c r="F25" s="7" t="s">
        <v>925</v>
      </c>
      <c r="G25" s="7" t="s">
        <v>972</v>
      </c>
      <c r="H25" s="7" t="s">
        <v>927</v>
      </c>
      <c r="I25" s="8" t="s">
        <v>4</v>
      </c>
      <c r="J25" s="8"/>
      <c r="K25" s="8"/>
      <c r="L25" s="9"/>
      <c r="M25" s="8"/>
      <c r="N25" s="7" t="s">
        <v>53</v>
      </c>
      <c r="O25" s="7" t="s">
        <v>970</v>
      </c>
      <c r="P25" s="7" t="s">
        <v>55</v>
      </c>
      <c r="Q25" s="7" t="s">
        <v>551</v>
      </c>
      <c r="R25" s="7"/>
    </row>
    <row r="26" spans="1:18" ht="140.1" customHeight="1">
      <c r="A26" s="6" t="s">
        <v>973</v>
      </c>
      <c r="B26" s="6" t="s">
        <v>967</v>
      </c>
      <c r="C26" s="6" t="s">
        <v>929</v>
      </c>
      <c r="D26" s="6" t="s">
        <v>48</v>
      </c>
      <c r="E26" s="6" t="s">
        <v>49</v>
      </c>
      <c r="F26" s="6" t="s">
        <v>930</v>
      </c>
      <c r="G26" s="6" t="s">
        <v>972</v>
      </c>
      <c r="H26" s="6" t="s">
        <v>927</v>
      </c>
      <c r="I26" s="8" t="s">
        <v>4</v>
      </c>
      <c r="J26" s="8"/>
      <c r="K26" s="8"/>
      <c r="L26" s="9"/>
      <c r="M26" s="8"/>
      <c r="N26" s="6" t="s">
        <v>53</v>
      </c>
      <c r="O26" s="6" t="s">
        <v>970</v>
      </c>
      <c r="P26" s="6" t="s">
        <v>55</v>
      </c>
      <c r="Q26" s="6" t="s">
        <v>551</v>
      </c>
      <c r="R26" s="6"/>
    </row>
    <row r="27" spans="1:18" ht="140.1" customHeight="1">
      <c r="A27" s="7" t="s">
        <v>974</v>
      </c>
      <c r="B27" s="7" t="s">
        <v>967</v>
      </c>
      <c r="C27" s="7" t="s">
        <v>932</v>
      </c>
      <c r="D27" s="7" t="s">
        <v>84</v>
      </c>
      <c r="E27" s="7" t="s">
        <v>49</v>
      </c>
      <c r="F27" s="7" t="s">
        <v>919</v>
      </c>
      <c r="G27" s="7" t="s">
        <v>975</v>
      </c>
      <c r="H27" s="7" t="s">
        <v>934</v>
      </c>
      <c r="I27" s="8" t="s">
        <v>4</v>
      </c>
      <c r="J27" s="8"/>
      <c r="K27" s="8"/>
      <c r="L27" s="9"/>
      <c r="M27" s="8"/>
      <c r="N27" s="7" t="s">
        <v>53</v>
      </c>
      <c r="O27" s="7" t="s">
        <v>970</v>
      </c>
      <c r="P27" s="7" t="s">
        <v>55</v>
      </c>
      <c r="Q27" s="7" t="s">
        <v>56</v>
      </c>
      <c r="R27" s="7"/>
    </row>
    <row r="28" spans="1:18" ht="140.1" customHeight="1">
      <c r="A28" s="6" t="s">
        <v>976</v>
      </c>
      <c r="B28" s="6" t="s">
        <v>967</v>
      </c>
      <c r="C28" s="6" t="s">
        <v>936</v>
      </c>
      <c r="D28" s="6" t="s">
        <v>84</v>
      </c>
      <c r="E28" s="6" t="s">
        <v>49</v>
      </c>
      <c r="F28" s="6" t="s">
        <v>919</v>
      </c>
      <c r="G28" s="6" t="s">
        <v>975</v>
      </c>
      <c r="H28" s="6" t="s">
        <v>934</v>
      </c>
      <c r="I28" s="8" t="s">
        <v>4</v>
      </c>
      <c r="J28" s="8"/>
      <c r="K28" s="8"/>
      <c r="L28" s="9"/>
      <c r="M28" s="8"/>
      <c r="N28" s="6" t="s">
        <v>53</v>
      </c>
      <c r="O28" s="6" t="s">
        <v>970</v>
      </c>
      <c r="P28" s="6" t="s">
        <v>55</v>
      </c>
      <c r="Q28" s="6" t="s">
        <v>56</v>
      </c>
      <c r="R28" s="6"/>
    </row>
    <row r="29" spans="1:18" ht="140.1" customHeight="1">
      <c r="A29" s="7" t="s">
        <v>977</v>
      </c>
      <c r="B29" s="7" t="s">
        <v>967</v>
      </c>
      <c r="C29" s="7" t="s">
        <v>938</v>
      </c>
      <c r="D29" s="7" t="s">
        <v>84</v>
      </c>
      <c r="E29" s="7" t="s">
        <v>49</v>
      </c>
      <c r="F29" s="7" t="s">
        <v>919</v>
      </c>
      <c r="G29" s="7" t="s">
        <v>975</v>
      </c>
      <c r="H29" s="7" t="s">
        <v>934</v>
      </c>
      <c r="I29" s="8" t="s">
        <v>4</v>
      </c>
      <c r="J29" s="8"/>
      <c r="K29" s="8"/>
      <c r="L29" s="9"/>
      <c r="M29" s="8"/>
      <c r="N29" s="7" t="s">
        <v>53</v>
      </c>
      <c r="O29" s="7" t="s">
        <v>970</v>
      </c>
      <c r="P29" s="7" t="s">
        <v>55</v>
      </c>
      <c r="Q29" s="7" t="s">
        <v>56</v>
      </c>
      <c r="R29" s="7"/>
    </row>
    <row r="30" spans="1:18" ht="140.1" customHeight="1">
      <c r="A30" s="6" t="s">
        <v>978</v>
      </c>
      <c r="B30" s="6" t="s">
        <v>967</v>
      </c>
      <c r="C30" s="6" t="s">
        <v>940</v>
      </c>
      <c r="D30" s="6" t="s">
        <v>48</v>
      </c>
      <c r="E30" s="6" t="s">
        <v>49</v>
      </c>
      <c r="F30" s="6" t="s">
        <v>919</v>
      </c>
      <c r="G30" s="6" t="s">
        <v>979</v>
      </c>
      <c r="H30" s="6" t="s">
        <v>942</v>
      </c>
      <c r="I30" s="8" t="s">
        <v>4</v>
      </c>
      <c r="J30" s="8"/>
      <c r="K30" s="8"/>
      <c r="L30" s="9"/>
      <c r="M30" s="8"/>
      <c r="N30" s="6" t="s">
        <v>53</v>
      </c>
      <c r="O30" s="6" t="s">
        <v>970</v>
      </c>
      <c r="P30" s="6" t="s">
        <v>55</v>
      </c>
      <c r="Q30" s="6" t="s">
        <v>56</v>
      </c>
      <c r="R30" s="6"/>
    </row>
    <row r="31" spans="1:18" ht="140.1" customHeight="1">
      <c r="A31" s="7" t="s">
        <v>980</v>
      </c>
      <c r="B31" s="7" t="s">
        <v>967</v>
      </c>
      <c r="C31" s="7" t="s">
        <v>510</v>
      </c>
      <c r="D31" s="7" t="s">
        <v>84</v>
      </c>
      <c r="E31" s="7" t="s">
        <v>49</v>
      </c>
      <c r="F31" s="7" t="s">
        <v>919</v>
      </c>
      <c r="G31" s="7" t="s">
        <v>981</v>
      </c>
      <c r="H31" s="7" t="s">
        <v>945</v>
      </c>
      <c r="I31" s="8" t="s">
        <v>4</v>
      </c>
      <c r="J31" s="8"/>
      <c r="K31" s="8"/>
      <c r="L31" s="9"/>
      <c r="M31" s="8"/>
      <c r="N31" s="7" t="s">
        <v>53</v>
      </c>
      <c r="O31" s="7" t="s">
        <v>970</v>
      </c>
      <c r="P31" s="7" t="s">
        <v>55</v>
      </c>
      <c r="Q31" s="7" t="s">
        <v>56</v>
      </c>
      <c r="R31" s="7"/>
    </row>
    <row r="32" spans="1:18" ht="140.1" customHeight="1">
      <c r="A32" s="6" t="s">
        <v>982</v>
      </c>
      <c r="B32" s="6" t="s">
        <v>967</v>
      </c>
      <c r="C32" s="6" t="s">
        <v>519</v>
      </c>
      <c r="D32" s="6" t="s">
        <v>84</v>
      </c>
      <c r="E32" s="6" t="s">
        <v>49</v>
      </c>
      <c r="F32" s="6" t="s">
        <v>919</v>
      </c>
      <c r="G32" s="6" t="s">
        <v>983</v>
      </c>
      <c r="H32" s="6" t="s">
        <v>945</v>
      </c>
      <c r="I32" s="8" t="s">
        <v>4</v>
      </c>
      <c r="J32" s="8"/>
      <c r="K32" s="8"/>
      <c r="L32" s="9"/>
      <c r="M32" s="8"/>
      <c r="N32" s="6" t="s">
        <v>53</v>
      </c>
      <c r="O32" s="6" t="s">
        <v>970</v>
      </c>
      <c r="P32" s="6" t="s">
        <v>55</v>
      </c>
      <c r="Q32" s="6" t="s">
        <v>56</v>
      </c>
      <c r="R32" s="6"/>
    </row>
    <row r="33" spans="1:18" ht="140.1" customHeight="1">
      <c r="A33" s="7" t="s">
        <v>984</v>
      </c>
      <c r="B33" s="7" t="s">
        <v>985</v>
      </c>
      <c r="C33" s="7" t="s">
        <v>918</v>
      </c>
      <c r="D33" s="7" t="s">
        <v>48</v>
      </c>
      <c r="E33" s="7" t="s">
        <v>49</v>
      </c>
      <c r="F33" s="7" t="s">
        <v>919</v>
      </c>
      <c r="G33" s="7" t="s">
        <v>986</v>
      </c>
      <c r="H33" s="7" t="s">
        <v>921</v>
      </c>
      <c r="I33" s="8" t="s">
        <v>4</v>
      </c>
      <c r="J33" s="8"/>
      <c r="K33" s="8"/>
      <c r="L33" s="9"/>
      <c r="M33" s="8"/>
      <c r="N33" s="7" t="s">
        <v>53</v>
      </c>
      <c r="O33" s="7" t="s">
        <v>987</v>
      </c>
      <c r="P33" s="7" t="s">
        <v>55</v>
      </c>
      <c r="Q33" s="7" t="s">
        <v>56</v>
      </c>
      <c r="R33" s="7"/>
    </row>
    <row r="34" spans="1:18" ht="140.1" customHeight="1">
      <c r="A34" s="6" t="s">
        <v>988</v>
      </c>
      <c r="B34" s="6" t="s">
        <v>985</v>
      </c>
      <c r="C34" s="6" t="s">
        <v>924</v>
      </c>
      <c r="D34" s="6" t="s">
        <v>48</v>
      </c>
      <c r="E34" s="6" t="s">
        <v>49</v>
      </c>
      <c r="F34" s="6" t="s">
        <v>925</v>
      </c>
      <c r="G34" s="6" t="s">
        <v>989</v>
      </c>
      <c r="H34" s="6" t="s">
        <v>927</v>
      </c>
      <c r="I34" s="8" t="s">
        <v>4</v>
      </c>
      <c r="J34" s="8"/>
      <c r="K34" s="8"/>
      <c r="L34" s="9"/>
      <c r="M34" s="8"/>
      <c r="N34" s="6" t="s">
        <v>53</v>
      </c>
      <c r="O34" s="6" t="s">
        <v>987</v>
      </c>
      <c r="P34" s="6" t="s">
        <v>55</v>
      </c>
      <c r="Q34" s="6" t="s">
        <v>551</v>
      </c>
      <c r="R34" s="6"/>
    </row>
    <row r="35" spans="1:18" ht="140.1" customHeight="1">
      <c r="A35" s="7" t="s">
        <v>990</v>
      </c>
      <c r="B35" s="7" t="s">
        <v>985</v>
      </c>
      <c r="C35" s="7" t="s">
        <v>929</v>
      </c>
      <c r="D35" s="7" t="s">
        <v>48</v>
      </c>
      <c r="E35" s="7" t="s">
        <v>49</v>
      </c>
      <c r="F35" s="7" t="s">
        <v>930</v>
      </c>
      <c r="G35" s="7" t="s">
        <v>989</v>
      </c>
      <c r="H35" s="7" t="s">
        <v>927</v>
      </c>
      <c r="I35" s="8" t="s">
        <v>4</v>
      </c>
      <c r="J35" s="8"/>
      <c r="K35" s="8"/>
      <c r="L35" s="9"/>
      <c r="M35" s="8"/>
      <c r="N35" s="7" t="s">
        <v>53</v>
      </c>
      <c r="O35" s="7" t="s">
        <v>987</v>
      </c>
      <c r="P35" s="7" t="s">
        <v>55</v>
      </c>
      <c r="Q35" s="7" t="s">
        <v>551</v>
      </c>
      <c r="R35" s="7"/>
    </row>
    <row r="36" spans="1:18" ht="140.1" customHeight="1">
      <c r="A36" s="6" t="s">
        <v>991</v>
      </c>
      <c r="B36" s="6" t="s">
        <v>985</v>
      </c>
      <c r="C36" s="6" t="s">
        <v>932</v>
      </c>
      <c r="D36" s="6" t="s">
        <v>84</v>
      </c>
      <c r="E36" s="6" t="s">
        <v>49</v>
      </c>
      <c r="F36" s="6" t="s">
        <v>919</v>
      </c>
      <c r="G36" s="6" t="s">
        <v>992</v>
      </c>
      <c r="H36" s="6" t="s">
        <v>934</v>
      </c>
      <c r="I36" s="8" t="s">
        <v>4</v>
      </c>
      <c r="J36" s="8"/>
      <c r="K36" s="8"/>
      <c r="L36" s="9"/>
      <c r="M36" s="8"/>
      <c r="N36" s="6" t="s">
        <v>53</v>
      </c>
      <c r="O36" s="6" t="s">
        <v>987</v>
      </c>
      <c r="P36" s="6" t="s">
        <v>55</v>
      </c>
      <c r="Q36" s="6" t="s">
        <v>56</v>
      </c>
      <c r="R36" s="6"/>
    </row>
    <row r="37" spans="1:18" ht="140.1" customHeight="1">
      <c r="A37" s="7" t="s">
        <v>993</v>
      </c>
      <c r="B37" s="7" t="s">
        <v>985</v>
      </c>
      <c r="C37" s="7" t="s">
        <v>936</v>
      </c>
      <c r="D37" s="7" t="s">
        <v>84</v>
      </c>
      <c r="E37" s="7" t="s">
        <v>49</v>
      </c>
      <c r="F37" s="7" t="s">
        <v>919</v>
      </c>
      <c r="G37" s="7" t="s">
        <v>992</v>
      </c>
      <c r="H37" s="7" t="s">
        <v>934</v>
      </c>
      <c r="I37" s="8" t="s">
        <v>4</v>
      </c>
      <c r="J37" s="8"/>
      <c r="K37" s="8"/>
      <c r="L37" s="9"/>
      <c r="M37" s="8"/>
      <c r="N37" s="7" t="s">
        <v>53</v>
      </c>
      <c r="O37" s="7" t="s">
        <v>987</v>
      </c>
      <c r="P37" s="7" t="s">
        <v>55</v>
      </c>
      <c r="Q37" s="7" t="s">
        <v>56</v>
      </c>
      <c r="R37" s="7"/>
    </row>
    <row r="38" spans="1:18" ht="140.1" customHeight="1">
      <c r="A38" s="6" t="s">
        <v>994</v>
      </c>
      <c r="B38" s="6" t="s">
        <v>985</v>
      </c>
      <c r="C38" s="6" t="s">
        <v>938</v>
      </c>
      <c r="D38" s="6" t="s">
        <v>84</v>
      </c>
      <c r="E38" s="6" t="s">
        <v>49</v>
      </c>
      <c r="F38" s="6" t="s">
        <v>919</v>
      </c>
      <c r="G38" s="6" t="s">
        <v>992</v>
      </c>
      <c r="H38" s="6" t="s">
        <v>934</v>
      </c>
      <c r="I38" s="8" t="s">
        <v>4</v>
      </c>
      <c r="J38" s="8"/>
      <c r="K38" s="8"/>
      <c r="L38" s="9"/>
      <c r="M38" s="8"/>
      <c r="N38" s="6" t="s">
        <v>53</v>
      </c>
      <c r="O38" s="6" t="s">
        <v>987</v>
      </c>
      <c r="P38" s="6" t="s">
        <v>55</v>
      </c>
      <c r="Q38" s="6" t="s">
        <v>56</v>
      </c>
      <c r="R38" s="6"/>
    </row>
    <row r="39" spans="1:18" ht="140.1" customHeight="1">
      <c r="A39" s="7" t="s">
        <v>995</v>
      </c>
      <c r="B39" s="7" t="s">
        <v>985</v>
      </c>
      <c r="C39" s="7" t="s">
        <v>940</v>
      </c>
      <c r="D39" s="7" t="s">
        <v>48</v>
      </c>
      <c r="E39" s="7" t="s">
        <v>49</v>
      </c>
      <c r="F39" s="7" t="s">
        <v>919</v>
      </c>
      <c r="G39" s="7" t="s">
        <v>996</v>
      </c>
      <c r="H39" s="7" t="s">
        <v>942</v>
      </c>
      <c r="I39" s="8" t="s">
        <v>4</v>
      </c>
      <c r="J39" s="8"/>
      <c r="K39" s="8"/>
      <c r="L39" s="9"/>
      <c r="M39" s="8"/>
      <c r="N39" s="7" t="s">
        <v>53</v>
      </c>
      <c r="O39" s="7" t="s">
        <v>987</v>
      </c>
      <c r="P39" s="7" t="s">
        <v>55</v>
      </c>
      <c r="Q39" s="7" t="s">
        <v>56</v>
      </c>
      <c r="R39" s="7"/>
    </row>
    <row r="40" spans="1:18" ht="140.1" customHeight="1">
      <c r="A40" s="6" t="s">
        <v>997</v>
      </c>
      <c r="B40" s="6" t="s">
        <v>985</v>
      </c>
      <c r="C40" s="6" t="s">
        <v>510</v>
      </c>
      <c r="D40" s="6" t="s">
        <v>84</v>
      </c>
      <c r="E40" s="6" t="s">
        <v>49</v>
      </c>
      <c r="F40" s="6" t="s">
        <v>919</v>
      </c>
      <c r="G40" s="6" t="s">
        <v>998</v>
      </c>
      <c r="H40" s="6" t="s">
        <v>945</v>
      </c>
      <c r="I40" s="8" t="s">
        <v>4</v>
      </c>
      <c r="J40" s="8"/>
      <c r="K40" s="8"/>
      <c r="L40" s="9"/>
      <c r="M40" s="8"/>
      <c r="N40" s="6" t="s">
        <v>53</v>
      </c>
      <c r="O40" s="6" t="s">
        <v>987</v>
      </c>
      <c r="P40" s="6" t="s">
        <v>55</v>
      </c>
      <c r="Q40" s="6" t="s">
        <v>56</v>
      </c>
      <c r="R40" s="6"/>
    </row>
    <row r="41" spans="1:18" ht="140.1" customHeight="1">
      <c r="A41" s="7" t="s">
        <v>999</v>
      </c>
      <c r="B41" s="7" t="s">
        <v>985</v>
      </c>
      <c r="C41" s="7" t="s">
        <v>519</v>
      </c>
      <c r="D41" s="7" t="s">
        <v>84</v>
      </c>
      <c r="E41" s="7" t="s">
        <v>49</v>
      </c>
      <c r="F41" s="7" t="s">
        <v>919</v>
      </c>
      <c r="G41" s="7" t="s">
        <v>1000</v>
      </c>
      <c r="H41" s="7" t="s">
        <v>945</v>
      </c>
      <c r="I41" s="8" t="s">
        <v>4</v>
      </c>
      <c r="J41" s="8"/>
      <c r="K41" s="8"/>
      <c r="L41" s="9"/>
      <c r="M41" s="8"/>
      <c r="N41" s="7" t="s">
        <v>53</v>
      </c>
      <c r="O41" s="7" t="s">
        <v>987</v>
      </c>
      <c r="P41" s="7" t="s">
        <v>55</v>
      </c>
      <c r="Q41" s="7" t="s">
        <v>56</v>
      </c>
      <c r="R41" s="7"/>
    </row>
    <row r="42" spans="1:18" ht="140.1" customHeight="1">
      <c r="A42" s="6" t="s">
        <v>1001</v>
      </c>
      <c r="B42" s="6" t="s">
        <v>1002</v>
      </c>
      <c r="C42" s="6" t="s">
        <v>918</v>
      </c>
      <c r="D42" s="6" t="s">
        <v>48</v>
      </c>
      <c r="E42" s="6" t="s">
        <v>49</v>
      </c>
      <c r="F42" s="6" t="s">
        <v>1003</v>
      </c>
      <c r="G42" s="6" t="s">
        <v>1004</v>
      </c>
      <c r="H42" s="6" t="s">
        <v>1005</v>
      </c>
      <c r="I42" s="8" t="s">
        <v>4</v>
      </c>
      <c r="J42" s="8"/>
      <c r="K42" s="8"/>
      <c r="L42" s="9"/>
      <c r="M42" s="8"/>
      <c r="N42" s="6" t="s">
        <v>53</v>
      </c>
      <c r="O42" s="6" t="s">
        <v>1006</v>
      </c>
      <c r="P42" s="6" t="s">
        <v>55</v>
      </c>
      <c r="Q42" s="6" t="s">
        <v>56</v>
      </c>
      <c r="R42" s="6"/>
    </row>
    <row r="43" spans="1:18" ht="140.1" customHeight="1">
      <c r="A43" s="7" t="s">
        <v>1007</v>
      </c>
      <c r="B43" s="7" t="s">
        <v>1002</v>
      </c>
      <c r="C43" s="7" t="s">
        <v>924</v>
      </c>
      <c r="D43" s="7" t="s">
        <v>48</v>
      </c>
      <c r="E43" s="7" t="s">
        <v>49</v>
      </c>
      <c r="F43" s="7" t="s">
        <v>1008</v>
      </c>
      <c r="G43" s="7" t="s">
        <v>1009</v>
      </c>
      <c r="H43" s="7" t="s">
        <v>927</v>
      </c>
      <c r="I43" s="8" t="s">
        <v>4</v>
      </c>
      <c r="J43" s="8"/>
      <c r="K43" s="8"/>
      <c r="L43" s="9"/>
      <c r="M43" s="8"/>
      <c r="N43" s="7" t="s">
        <v>53</v>
      </c>
      <c r="O43" s="7" t="s">
        <v>1006</v>
      </c>
      <c r="P43" s="7" t="s">
        <v>55</v>
      </c>
      <c r="Q43" s="7" t="s">
        <v>551</v>
      </c>
      <c r="R43" s="7"/>
    </row>
    <row r="44" spans="1:18" ht="140.1" customHeight="1">
      <c r="A44" s="6" t="s">
        <v>1010</v>
      </c>
      <c r="B44" s="6" t="s">
        <v>1002</v>
      </c>
      <c r="C44" s="6" t="s">
        <v>929</v>
      </c>
      <c r="D44" s="6" t="s">
        <v>48</v>
      </c>
      <c r="E44" s="6" t="s">
        <v>49</v>
      </c>
      <c r="F44" s="6" t="s">
        <v>1011</v>
      </c>
      <c r="G44" s="6" t="s">
        <v>1009</v>
      </c>
      <c r="H44" s="6" t="s">
        <v>927</v>
      </c>
      <c r="I44" s="8" t="s">
        <v>4</v>
      </c>
      <c r="J44" s="8"/>
      <c r="K44" s="8"/>
      <c r="L44" s="9"/>
      <c r="M44" s="8"/>
      <c r="N44" s="6" t="s">
        <v>53</v>
      </c>
      <c r="O44" s="6" t="s">
        <v>1006</v>
      </c>
      <c r="P44" s="6" t="s">
        <v>55</v>
      </c>
      <c r="Q44" s="6" t="s">
        <v>551</v>
      </c>
      <c r="R44" s="6"/>
    </row>
    <row r="45" spans="1:18" ht="140.1" customHeight="1">
      <c r="A45" s="7" t="s">
        <v>1012</v>
      </c>
      <c r="B45" s="7" t="s">
        <v>1002</v>
      </c>
      <c r="C45" s="7" t="s">
        <v>932</v>
      </c>
      <c r="D45" s="7" t="s">
        <v>84</v>
      </c>
      <c r="E45" s="7" t="s">
        <v>49</v>
      </c>
      <c r="F45" s="7" t="s">
        <v>1003</v>
      </c>
      <c r="G45" s="7" t="s">
        <v>1013</v>
      </c>
      <c r="H45" s="7" t="s">
        <v>934</v>
      </c>
      <c r="I45" s="8" t="s">
        <v>4</v>
      </c>
      <c r="J45" s="8"/>
      <c r="K45" s="8"/>
      <c r="L45" s="9"/>
      <c r="M45" s="8"/>
      <c r="N45" s="7" t="s">
        <v>53</v>
      </c>
      <c r="O45" s="7" t="s">
        <v>1006</v>
      </c>
      <c r="P45" s="7" t="s">
        <v>55</v>
      </c>
      <c r="Q45" s="7" t="s">
        <v>56</v>
      </c>
      <c r="R45" s="7"/>
    </row>
    <row r="46" spans="1:18" ht="140.1" customHeight="1">
      <c r="A46" s="6" t="s">
        <v>1014</v>
      </c>
      <c r="B46" s="6" t="s">
        <v>1002</v>
      </c>
      <c r="C46" s="6" t="s">
        <v>936</v>
      </c>
      <c r="D46" s="6" t="s">
        <v>84</v>
      </c>
      <c r="E46" s="6" t="s">
        <v>49</v>
      </c>
      <c r="F46" s="6" t="s">
        <v>1003</v>
      </c>
      <c r="G46" s="6" t="s">
        <v>1013</v>
      </c>
      <c r="H46" s="6" t="s">
        <v>934</v>
      </c>
      <c r="I46" s="8" t="s">
        <v>4</v>
      </c>
      <c r="J46" s="8"/>
      <c r="K46" s="8"/>
      <c r="L46" s="9"/>
      <c r="M46" s="8"/>
      <c r="N46" s="6" t="s">
        <v>53</v>
      </c>
      <c r="O46" s="6" t="s">
        <v>1006</v>
      </c>
      <c r="P46" s="6" t="s">
        <v>55</v>
      </c>
      <c r="Q46" s="6" t="s">
        <v>56</v>
      </c>
      <c r="R46" s="6"/>
    </row>
    <row r="47" spans="1:18" ht="140.1" customHeight="1">
      <c r="A47" s="7" t="s">
        <v>1015</v>
      </c>
      <c r="B47" s="7" t="s">
        <v>1002</v>
      </c>
      <c r="C47" s="7" t="s">
        <v>938</v>
      </c>
      <c r="D47" s="7" t="s">
        <v>84</v>
      </c>
      <c r="E47" s="7" t="s">
        <v>49</v>
      </c>
      <c r="F47" s="7" t="s">
        <v>1003</v>
      </c>
      <c r="G47" s="7" t="s">
        <v>1013</v>
      </c>
      <c r="H47" s="7" t="s">
        <v>934</v>
      </c>
      <c r="I47" s="8" t="s">
        <v>4</v>
      </c>
      <c r="J47" s="8"/>
      <c r="K47" s="8"/>
      <c r="L47" s="9"/>
      <c r="M47" s="8"/>
      <c r="N47" s="7" t="s">
        <v>53</v>
      </c>
      <c r="O47" s="7" t="s">
        <v>1006</v>
      </c>
      <c r="P47" s="7" t="s">
        <v>55</v>
      </c>
      <c r="Q47" s="7" t="s">
        <v>56</v>
      </c>
      <c r="R47" s="7"/>
    </row>
    <row r="48" spans="1:18" ht="140.1" customHeight="1">
      <c r="A48" s="6" t="s">
        <v>1016</v>
      </c>
      <c r="B48" s="6" t="s">
        <v>1002</v>
      </c>
      <c r="C48" s="6" t="s">
        <v>940</v>
      </c>
      <c r="D48" s="6" t="s">
        <v>48</v>
      </c>
      <c r="E48" s="6" t="s">
        <v>49</v>
      </c>
      <c r="F48" s="6" t="s">
        <v>1003</v>
      </c>
      <c r="G48" s="6" t="s">
        <v>1017</v>
      </c>
      <c r="H48" s="6" t="s">
        <v>942</v>
      </c>
      <c r="I48" s="8" t="s">
        <v>4</v>
      </c>
      <c r="J48" s="8"/>
      <c r="K48" s="8"/>
      <c r="L48" s="9"/>
      <c r="M48" s="8"/>
      <c r="N48" s="6" t="s">
        <v>53</v>
      </c>
      <c r="O48" s="6" t="s">
        <v>1006</v>
      </c>
      <c r="P48" s="6" t="s">
        <v>55</v>
      </c>
      <c r="Q48" s="6" t="s">
        <v>56</v>
      </c>
      <c r="R48" s="6"/>
    </row>
    <row r="49" spans="1:18" ht="140.1" customHeight="1">
      <c r="A49" s="7" t="s">
        <v>1018</v>
      </c>
      <c r="B49" s="7" t="s">
        <v>1002</v>
      </c>
      <c r="C49" s="7" t="s">
        <v>510</v>
      </c>
      <c r="D49" s="7" t="s">
        <v>84</v>
      </c>
      <c r="E49" s="7" t="s">
        <v>49</v>
      </c>
      <c r="F49" s="7" t="s">
        <v>1003</v>
      </c>
      <c r="G49" s="7" t="s">
        <v>1019</v>
      </c>
      <c r="H49" s="7" t="s">
        <v>945</v>
      </c>
      <c r="I49" s="8" t="s">
        <v>4</v>
      </c>
      <c r="J49" s="8"/>
      <c r="K49" s="8"/>
      <c r="L49" s="9"/>
      <c r="M49" s="8"/>
      <c r="N49" s="7" t="s">
        <v>53</v>
      </c>
      <c r="O49" s="7" t="s">
        <v>1006</v>
      </c>
      <c r="P49" s="7" t="s">
        <v>55</v>
      </c>
      <c r="Q49" s="7" t="s">
        <v>56</v>
      </c>
      <c r="R49" s="7"/>
    </row>
    <row r="50" spans="1:18" ht="140.1" customHeight="1">
      <c r="A50" s="6" t="s">
        <v>1020</v>
      </c>
      <c r="B50" s="6" t="s">
        <v>1002</v>
      </c>
      <c r="C50" s="6" t="s">
        <v>519</v>
      </c>
      <c r="D50" s="6" t="s">
        <v>84</v>
      </c>
      <c r="E50" s="6" t="s">
        <v>49</v>
      </c>
      <c r="F50" s="6" t="s">
        <v>1003</v>
      </c>
      <c r="G50" s="6" t="s">
        <v>1021</v>
      </c>
      <c r="H50" s="6" t="s">
        <v>945</v>
      </c>
      <c r="I50" s="8" t="s">
        <v>4</v>
      </c>
      <c r="J50" s="8"/>
      <c r="K50" s="8"/>
      <c r="L50" s="9"/>
      <c r="M50" s="8"/>
      <c r="N50" s="6" t="s">
        <v>53</v>
      </c>
      <c r="O50" s="6" t="s">
        <v>1006</v>
      </c>
      <c r="P50" s="6" t="s">
        <v>55</v>
      </c>
      <c r="Q50" s="6" t="s">
        <v>56</v>
      </c>
      <c r="R50" s="6"/>
    </row>
  </sheetData>
  <conditionalFormatting sqref="I6:I50">
    <cfRule type="cellIs" dxfId="7" priority="1" operator="equal">
      <formula>"فشلت"</formula>
    </cfRule>
    <cfRule type="cellIs" dxfId="6" priority="2" operator="equal">
      <formula>"محجوبة"</formula>
    </cfRule>
  </conditionalFormatting>
  <dataValidations count="1">
    <dataValidation type="list" sqref="I6:I50" xr:uid="{00000000-0002-0000-0700-000000000000}">
      <formula1>"لم تنفذ,نجحت,فشلت,محجوبة,غير منطبقة"</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82"/>
  <sheetViews>
    <sheetView showGridLines="0" rightToLeft="1" zoomScale="85" workbookViewId="0">
      <pane xSplit="2" ySplit="5" topLeftCell="C6" activePane="bottomRight" state="frozen"/>
      <selection pane="topRight"/>
      <selection pane="bottomLeft"/>
      <selection pane="bottomRight" activeCell="C6" sqref="C6"/>
    </sheetView>
  </sheetViews>
  <sheetFormatPr defaultRowHeight="14.25"/>
  <cols>
    <col min="1" max="1" width="14" customWidth="1"/>
    <col min="2" max="2" width="25" customWidth="1"/>
    <col min="3" max="3" width="40" customWidth="1"/>
    <col min="4" max="4" width="13" customWidth="1"/>
    <col min="5" max="5" width="48" customWidth="1"/>
    <col min="6" max="6" width="50" customWidth="1"/>
    <col min="7" max="8" width="72" customWidth="1"/>
    <col min="9" max="9" width="17" customWidth="1"/>
    <col min="10" max="10" width="45" customWidth="1"/>
    <col min="11" max="11" width="20" customWidth="1"/>
    <col min="12" max="13" width="18" customWidth="1"/>
    <col min="14" max="14" width="52" customWidth="1"/>
    <col min="15" max="15" width="66" customWidth="1"/>
    <col min="16" max="16" width="26" customWidth="1"/>
    <col min="17" max="17" width="23" customWidth="1"/>
    <col min="18" max="18" width="56" customWidth="1"/>
  </cols>
  <sheetData>
    <row r="1" spans="1:18">
      <c r="A1" s="1"/>
      <c r="B1" s="1"/>
      <c r="C1" s="1"/>
      <c r="D1" s="1"/>
      <c r="E1" s="1"/>
      <c r="F1" s="1"/>
      <c r="G1" s="1"/>
      <c r="H1" s="1"/>
      <c r="I1" s="1"/>
      <c r="J1" s="1"/>
      <c r="K1" s="1"/>
      <c r="L1" s="1"/>
      <c r="M1" s="1"/>
      <c r="N1" s="1"/>
      <c r="O1" s="1"/>
      <c r="P1" s="1"/>
      <c r="Q1" s="1"/>
      <c r="R1" s="1"/>
    </row>
    <row r="2" spans="1:18" ht="30" customHeight="1">
      <c r="A2" s="2" t="s">
        <v>1022</v>
      </c>
      <c r="B2" s="1"/>
      <c r="C2" s="1"/>
      <c r="D2" s="1"/>
      <c r="E2" s="1"/>
      <c r="F2" s="1"/>
      <c r="G2" s="1"/>
      <c r="H2" s="1"/>
      <c r="I2" s="1"/>
      <c r="J2" s="1"/>
      <c r="K2" s="1"/>
      <c r="L2" s="1"/>
      <c r="M2" s="1"/>
      <c r="N2" s="1"/>
      <c r="O2" s="1"/>
      <c r="P2" s="1"/>
      <c r="Q2" s="1"/>
      <c r="R2" s="1"/>
    </row>
    <row r="3" spans="1:18">
      <c r="A3" s="3" t="s">
        <v>26</v>
      </c>
      <c r="B3" s="1"/>
      <c r="C3" s="1"/>
      <c r="D3" s="1"/>
      <c r="E3" s="1"/>
      <c r="F3" s="1"/>
      <c r="G3" s="1"/>
      <c r="H3" s="1"/>
      <c r="I3" s="1"/>
      <c r="J3" s="1"/>
      <c r="K3" s="1"/>
      <c r="L3" s="1"/>
      <c r="M3" s="1"/>
      <c r="N3" s="1"/>
      <c r="O3" s="1"/>
      <c r="P3" s="1"/>
      <c r="Q3" s="1"/>
      <c r="R3" s="1"/>
    </row>
    <row r="4" spans="1:18">
      <c r="A4" s="1"/>
      <c r="B4" s="1"/>
      <c r="C4" s="1"/>
      <c r="D4" s="1"/>
      <c r="E4" s="1"/>
      <c r="F4" s="1"/>
      <c r="G4" s="1"/>
      <c r="H4" s="1"/>
      <c r="I4" s="1"/>
      <c r="J4" s="1"/>
      <c r="K4" s="1"/>
      <c r="L4" s="1"/>
      <c r="M4" s="1"/>
      <c r="N4" s="1"/>
      <c r="O4" s="1"/>
      <c r="P4" s="1"/>
      <c r="Q4" s="1"/>
      <c r="R4" s="1"/>
    </row>
    <row r="5" spans="1:18" ht="36" customHeight="1">
      <c r="A5" s="5" t="s">
        <v>27</v>
      </c>
      <c r="B5" s="5" t="s">
        <v>28</v>
      </c>
      <c r="C5" s="5" t="s">
        <v>29</v>
      </c>
      <c r="D5" s="5" t="s">
        <v>30</v>
      </c>
      <c r="E5" s="5" t="s">
        <v>31</v>
      </c>
      <c r="F5" s="5" t="s">
        <v>32</v>
      </c>
      <c r="G5" s="5" t="s">
        <v>33</v>
      </c>
      <c r="H5" s="5" t="s">
        <v>34</v>
      </c>
      <c r="I5" s="5" t="s">
        <v>35</v>
      </c>
      <c r="J5" s="5" t="s">
        <v>36</v>
      </c>
      <c r="K5" s="5" t="s">
        <v>37</v>
      </c>
      <c r="L5" s="5" t="s">
        <v>38</v>
      </c>
      <c r="M5" s="5" t="s">
        <v>39</v>
      </c>
      <c r="N5" s="5" t="s">
        <v>40</v>
      </c>
      <c r="O5" s="5" t="s">
        <v>41</v>
      </c>
      <c r="P5" s="5" t="s">
        <v>42</v>
      </c>
      <c r="Q5" s="5" t="s">
        <v>43</v>
      </c>
      <c r="R5" s="5" t="s">
        <v>44</v>
      </c>
    </row>
    <row r="6" spans="1:18" ht="140.1" customHeight="1">
      <c r="A6" s="6" t="s">
        <v>1023</v>
      </c>
      <c r="B6" s="6" t="s">
        <v>1024</v>
      </c>
      <c r="C6" s="6" t="s">
        <v>1025</v>
      </c>
      <c r="D6" s="6" t="s">
        <v>48</v>
      </c>
      <c r="E6" s="6" t="s">
        <v>49</v>
      </c>
      <c r="F6" s="6" t="s">
        <v>1026</v>
      </c>
      <c r="G6" s="6" t="s">
        <v>1027</v>
      </c>
      <c r="H6" s="6" t="s">
        <v>1028</v>
      </c>
      <c r="I6" s="8" t="s">
        <v>4</v>
      </c>
      <c r="J6" s="8"/>
      <c r="K6" s="8"/>
      <c r="L6" s="9"/>
      <c r="M6" s="8"/>
      <c r="N6" s="6" t="s">
        <v>53</v>
      </c>
      <c r="O6" s="6" t="s">
        <v>1029</v>
      </c>
      <c r="P6" s="6" t="s">
        <v>55</v>
      </c>
      <c r="Q6" s="6" t="s">
        <v>56</v>
      </c>
      <c r="R6" s="6"/>
    </row>
    <row r="7" spans="1:18" ht="140.1" customHeight="1">
      <c r="A7" s="7" t="s">
        <v>1030</v>
      </c>
      <c r="B7" s="7" t="s">
        <v>1024</v>
      </c>
      <c r="C7" s="7" t="s">
        <v>1031</v>
      </c>
      <c r="D7" s="7" t="s">
        <v>48</v>
      </c>
      <c r="E7" s="7" t="s">
        <v>49</v>
      </c>
      <c r="F7" s="7" t="s">
        <v>1032</v>
      </c>
      <c r="G7" s="7" t="s">
        <v>1033</v>
      </c>
      <c r="H7" s="7" t="s">
        <v>1034</v>
      </c>
      <c r="I7" s="8" t="s">
        <v>4</v>
      </c>
      <c r="J7" s="8"/>
      <c r="K7" s="8"/>
      <c r="L7" s="9"/>
      <c r="M7" s="8"/>
      <c r="N7" s="7" t="s">
        <v>53</v>
      </c>
      <c r="O7" s="7" t="s">
        <v>1029</v>
      </c>
      <c r="P7" s="7" t="s">
        <v>55</v>
      </c>
      <c r="Q7" s="7" t="s">
        <v>551</v>
      </c>
      <c r="R7" s="7"/>
    </row>
    <row r="8" spans="1:18" ht="140.1" customHeight="1">
      <c r="A8" s="6" t="s">
        <v>1035</v>
      </c>
      <c r="B8" s="6" t="s">
        <v>1024</v>
      </c>
      <c r="C8" s="6" t="s">
        <v>1036</v>
      </c>
      <c r="D8" s="6" t="s">
        <v>48</v>
      </c>
      <c r="E8" s="6" t="s">
        <v>49</v>
      </c>
      <c r="F8" s="6" t="s">
        <v>1037</v>
      </c>
      <c r="G8" s="6" t="s">
        <v>1033</v>
      </c>
      <c r="H8" s="6" t="s">
        <v>1034</v>
      </c>
      <c r="I8" s="8" t="s">
        <v>4</v>
      </c>
      <c r="J8" s="8"/>
      <c r="K8" s="8"/>
      <c r="L8" s="9"/>
      <c r="M8" s="8"/>
      <c r="N8" s="6" t="s">
        <v>53</v>
      </c>
      <c r="O8" s="6" t="s">
        <v>1029</v>
      </c>
      <c r="P8" s="6" t="s">
        <v>55</v>
      </c>
      <c r="Q8" s="6" t="s">
        <v>551</v>
      </c>
      <c r="R8" s="6"/>
    </row>
    <row r="9" spans="1:18" ht="140.1" customHeight="1">
      <c r="A9" s="7" t="s">
        <v>1038</v>
      </c>
      <c r="B9" s="7" t="s">
        <v>1024</v>
      </c>
      <c r="C9" s="7" t="s">
        <v>1039</v>
      </c>
      <c r="D9" s="7" t="s">
        <v>48</v>
      </c>
      <c r="E9" s="7" t="s">
        <v>49</v>
      </c>
      <c r="F9" s="7" t="s">
        <v>1040</v>
      </c>
      <c r="G9" s="7" t="s">
        <v>1041</v>
      </c>
      <c r="H9" s="7" t="s">
        <v>1042</v>
      </c>
      <c r="I9" s="8" t="s">
        <v>4</v>
      </c>
      <c r="J9" s="8"/>
      <c r="K9" s="8"/>
      <c r="L9" s="9"/>
      <c r="M9" s="8"/>
      <c r="N9" s="7" t="s">
        <v>53</v>
      </c>
      <c r="O9" s="7" t="s">
        <v>1029</v>
      </c>
      <c r="P9" s="7" t="s">
        <v>55</v>
      </c>
      <c r="Q9" s="7" t="s">
        <v>56</v>
      </c>
      <c r="R9" s="7"/>
    </row>
    <row r="10" spans="1:18" ht="140.1" customHeight="1">
      <c r="A10" s="6" t="s">
        <v>1043</v>
      </c>
      <c r="B10" s="6" t="s">
        <v>1024</v>
      </c>
      <c r="C10" s="6" t="s">
        <v>1044</v>
      </c>
      <c r="D10" s="6" t="s">
        <v>48</v>
      </c>
      <c r="E10" s="6" t="s">
        <v>49</v>
      </c>
      <c r="F10" s="6" t="s">
        <v>1040</v>
      </c>
      <c r="G10" s="6" t="s">
        <v>1045</v>
      </c>
      <c r="H10" s="6" t="s">
        <v>1046</v>
      </c>
      <c r="I10" s="8" t="s">
        <v>4</v>
      </c>
      <c r="J10" s="8"/>
      <c r="K10" s="8"/>
      <c r="L10" s="9"/>
      <c r="M10" s="8"/>
      <c r="N10" s="6" t="s">
        <v>53</v>
      </c>
      <c r="O10" s="6" t="s">
        <v>1029</v>
      </c>
      <c r="P10" s="6" t="s">
        <v>55</v>
      </c>
      <c r="Q10" s="6" t="s">
        <v>56</v>
      </c>
      <c r="R10" s="6"/>
    </row>
    <row r="11" spans="1:18" ht="140.1" customHeight="1">
      <c r="A11" s="7" t="s">
        <v>1047</v>
      </c>
      <c r="B11" s="7" t="s">
        <v>1024</v>
      </c>
      <c r="C11" s="7" t="s">
        <v>1048</v>
      </c>
      <c r="D11" s="7" t="s">
        <v>84</v>
      </c>
      <c r="E11" s="7" t="s">
        <v>49</v>
      </c>
      <c r="F11" s="7" t="s">
        <v>1040</v>
      </c>
      <c r="G11" s="7" t="s">
        <v>1049</v>
      </c>
      <c r="H11" s="7" t="s">
        <v>1050</v>
      </c>
      <c r="I11" s="8" t="s">
        <v>4</v>
      </c>
      <c r="J11" s="8"/>
      <c r="K11" s="8"/>
      <c r="L11" s="9"/>
      <c r="M11" s="8"/>
      <c r="N11" s="7" t="s">
        <v>53</v>
      </c>
      <c r="O11" s="7" t="s">
        <v>1029</v>
      </c>
      <c r="P11" s="7" t="s">
        <v>55</v>
      </c>
      <c r="Q11" s="7" t="s">
        <v>56</v>
      </c>
      <c r="R11" s="7"/>
    </row>
    <row r="12" spans="1:18" ht="140.1" customHeight="1">
      <c r="A12" s="6" t="s">
        <v>1051</v>
      </c>
      <c r="B12" s="6" t="s">
        <v>1024</v>
      </c>
      <c r="C12" s="6" t="s">
        <v>1052</v>
      </c>
      <c r="D12" s="6" t="s">
        <v>84</v>
      </c>
      <c r="E12" s="6" t="s">
        <v>49</v>
      </c>
      <c r="F12" s="6" t="s">
        <v>1040</v>
      </c>
      <c r="G12" s="6" t="s">
        <v>1053</v>
      </c>
      <c r="H12" s="6" t="s">
        <v>1050</v>
      </c>
      <c r="I12" s="8" t="s">
        <v>4</v>
      </c>
      <c r="J12" s="8"/>
      <c r="K12" s="8"/>
      <c r="L12" s="9"/>
      <c r="M12" s="8"/>
      <c r="N12" s="6" t="s">
        <v>53</v>
      </c>
      <c r="O12" s="6" t="s">
        <v>1029</v>
      </c>
      <c r="P12" s="6" t="s">
        <v>55</v>
      </c>
      <c r="Q12" s="6" t="s">
        <v>56</v>
      </c>
      <c r="R12" s="6"/>
    </row>
    <row r="13" spans="1:18" ht="140.1" customHeight="1">
      <c r="A13" s="7" t="s">
        <v>1054</v>
      </c>
      <c r="B13" s="7" t="s">
        <v>1024</v>
      </c>
      <c r="C13" s="7" t="s">
        <v>1055</v>
      </c>
      <c r="D13" s="7" t="s">
        <v>84</v>
      </c>
      <c r="E13" s="7" t="s">
        <v>49</v>
      </c>
      <c r="F13" s="7" t="s">
        <v>1026</v>
      </c>
      <c r="G13" s="7" t="s">
        <v>1056</v>
      </c>
      <c r="H13" s="7" t="s">
        <v>1057</v>
      </c>
      <c r="I13" s="8" t="s">
        <v>4</v>
      </c>
      <c r="J13" s="8"/>
      <c r="K13" s="8"/>
      <c r="L13" s="9"/>
      <c r="M13" s="8"/>
      <c r="N13" s="7" t="s">
        <v>53</v>
      </c>
      <c r="O13" s="7" t="s">
        <v>1029</v>
      </c>
      <c r="P13" s="7" t="s">
        <v>55</v>
      </c>
      <c r="Q13" s="7" t="s">
        <v>56</v>
      </c>
      <c r="R13" s="7"/>
    </row>
    <row r="14" spans="1:18" ht="140.1" customHeight="1">
      <c r="A14" s="6" t="s">
        <v>1058</v>
      </c>
      <c r="B14" s="6" t="s">
        <v>1024</v>
      </c>
      <c r="C14" s="6" t="s">
        <v>510</v>
      </c>
      <c r="D14" s="6" t="s">
        <v>84</v>
      </c>
      <c r="E14" s="6" t="s">
        <v>49</v>
      </c>
      <c r="F14" s="6" t="s">
        <v>1026</v>
      </c>
      <c r="G14" s="6" t="s">
        <v>1059</v>
      </c>
      <c r="H14" s="6" t="s">
        <v>1060</v>
      </c>
      <c r="I14" s="8" t="s">
        <v>4</v>
      </c>
      <c r="J14" s="8"/>
      <c r="K14" s="8"/>
      <c r="L14" s="9"/>
      <c r="M14" s="8"/>
      <c r="N14" s="6" t="s">
        <v>53</v>
      </c>
      <c r="O14" s="6" t="s">
        <v>1029</v>
      </c>
      <c r="P14" s="6" t="s">
        <v>55</v>
      </c>
      <c r="Q14" s="6" t="s">
        <v>56</v>
      </c>
      <c r="R14" s="6"/>
    </row>
    <row r="15" spans="1:18" ht="140.1" customHeight="1">
      <c r="A15" s="7" t="s">
        <v>1061</v>
      </c>
      <c r="B15" s="7" t="s">
        <v>1024</v>
      </c>
      <c r="C15" s="7" t="s">
        <v>519</v>
      </c>
      <c r="D15" s="7" t="s">
        <v>84</v>
      </c>
      <c r="E15" s="7" t="s">
        <v>49</v>
      </c>
      <c r="F15" s="7" t="s">
        <v>1026</v>
      </c>
      <c r="G15" s="7" t="s">
        <v>1062</v>
      </c>
      <c r="H15" s="7" t="s">
        <v>1060</v>
      </c>
      <c r="I15" s="8" t="s">
        <v>4</v>
      </c>
      <c r="J15" s="8"/>
      <c r="K15" s="8"/>
      <c r="L15" s="9"/>
      <c r="M15" s="8"/>
      <c r="N15" s="7" t="s">
        <v>53</v>
      </c>
      <c r="O15" s="7" t="s">
        <v>1029</v>
      </c>
      <c r="P15" s="7" t="s">
        <v>55</v>
      </c>
      <c r="Q15" s="7" t="s">
        <v>56</v>
      </c>
      <c r="R15" s="7"/>
    </row>
    <row r="16" spans="1:18" ht="140.1" customHeight="1">
      <c r="A16" s="6" t="s">
        <v>1063</v>
      </c>
      <c r="B16" s="6" t="s">
        <v>1064</v>
      </c>
      <c r="C16" s="6" t="s">
        <v>1025</v>
      </c>
      <c r="D16" s="6" t="s">
        <v>48</v>
      </c>
      <c r="E16" s="6" t="s">
        <v>49</v>
      </c>
      <c r="F16" s="6" t="s">
        <v>1026</v>
      </c>
      <c r="G16" s="6" t="s">
        <v>1065</v>
      </c>
      <c r="H16" s="6" t="s">
        <v>1028</v>
      </c>
      <c r="I16" s="8" t="s">
        <v>4</v>
      </c>
      <c r="J16" s="8"/>
      <c r="K16" s="8"/>
      <c r="L16" s="9"/>
      <c r="M16" s="8"/>
      <c r="N16" s="6" t="s">
        <v>53</v>
      </c>
      <c r="O16" s="6" t="s">
        <v>1066</v>
      </c>
      <c r="P16" s="6" t="s">
        <v>55</v>
      </c>
      <c r="Q16" s="6" t="s">
        <v>56</v>
      </c>
      <c r="R16" s="6"/>
    </row>
    <row r="17" spans="1:18" ht="140.1" customHeight="1">
      <c r="A17" s="7" t="s">
        <v>1067</v>
      </c>
      <c r="B17" s="7" t="s">
        <v>1064</v>
      </c>
      <c r="C17" s="7" t="s">
        <v>1031</v>
      </c>
      <c r="D17" s="7" t="s">
        <v>48</v>
      </c>
      <c r="E17" s="7" t="s">
        <v>49</v>
      </c>
      <c r="F17" s="7" t="s">
        <v>1032</v>
      </c>
      <c r="G17" s="7" t="s">
        <v>1068</v>
      </c>
      <c r="H17" s="7" t="s">
        <v>1034</v>
      </c>
      <c r="I17" s="8" t="s">
        <v>4</v>
      </c>
      <c r="J17" s="8"/>
      <c r="K17" s="8"/>
      <c r="L17" s="9"/>
      <c r="M17" s="8"/>
      <c r="N17" s="7" t="s">
        <v>53</v>
      </c>
      <c r="O17" s="7" t="s">
        <v>1066</v>
      </c>
      <c r="P17" s="7" t="s">
        <v>55</v>
      </c>
      <c r="Q17" s="7" t="s">
        <v>551</v>
      </c>
      <c r="R17" s="7"/>
    </row>
    <row r="18" spans="1:18" ht="140.1" customHeight="1">
      <c r="A18" s="6" t="s">
        <v>1069</v>
      </c>
      <c r="B18" s="6" t="s">
        <v>1064</v>
      </c>
      <c r="C18" s="6" t="s">
        <v>1036</v>
      </c>
      <c r="D18" s="6" t="s">
        <v>48</v>
      </c>
      <c r="E18" s="6" t="s">
        <v>49</v>
      </c>
      <c r="F18" s="6" t="s">
        <v>1037</v>
      </c>
      <c r="G18" s="6" t="s">
        <v>1068</v>
      </c>
      <c r="H18" s="6" t="s">
        <v>1034</v>
      </c>
      <c r="I18" s="8" t="s">
        <v>4</v>
      </c>
      <c r="J18" s="8"/>
      <c r="K18" s="8"/>
      <c r="L18" s="9"/>
      <c r="M18" s="8"/>
      <c r="N18" s="6" t="s">
        <v>53</v>
      </c>
      <c r="O18" s="6" t="s">
        <v>1066</v>
      </c>
      <c r="P18" s="6" t="s">
        <v>55</v>
      </c>
      <c r="Q18" s="6" t="s">
        <v>551</v>
      </c>
      <c r="R18" s="6"/>
    </row>
    <row r="19" spans="1:18" ht="140.1" customHeight="1">
      <c r="A19" s="7" t="s">
        <v>1070</v>
      </c>
      <c r="B19" s="7" t="s">
        <v>1064</v>
      </c>
      <c r="C19" s="7" t="s">
        <v>1039</v>
      </c>
      <c r="D19" s="7" t="s">
        <v>48</v>
      </c>
      <c r="E19" s="7" t="s">
        <v>49</v>
      </c>
      <c r="F19" s="7" t="s">
        <v>1040</v>
      </c>
      <c r="G19" s="7" t="s">
        <v>1071</v>
      </c>
      <c r="H19" s="7" t="s">
        <v>1042</v>
      </c>
      <c r="I19" s="8" t="s">
        <v>4</v>
      </c>
      <c r="J19" s="8"/>
      <c r="K19" s="8"/>
      <c r="L19" s="9"/>
      <c r="M19" s="8"/>
      <c r="N19" s="7" t="s">
        <v>53</v>
      </c>
      <c r="O19" s="7" t="s">
        <v>1066</v>
      </c>
      <c r="P19" s="7" t="s">
        <v>55</v>
      </c>
      <c r="Q19" s="7" t="s">
        <v>56</v>
      </c>
      <c r="R19" s="7"/>
    </row>
    <row r="20" spans="1:18" ht="140.1" customHeight="1">
      <c r="A20" s="6" t="s">
        <v>1072</v>
      </c>
      <c r="B20" s="6" t="s">
        <v>1064</v>
      </c>
      <c r="C20" s="6" t="s">
        <v>1044</v>
      </c>
      <c r="D20" s="6" t="s">
        <v>48</v>
      </c>
      <c r="E20" s="6" t="s">
        <v>49</v>
      </c>
      <c r="F20" s="6" t="s">
        <v>1040</v>
      </c>
      <c r="G20" s="6" t="s">
        <v>1073</v>
      </c>
      <c r="H20" s="6" t="s">
        <v>1046</v>
      </c>
      <c r="I20" s="8" t="s">
        <v>4</v>
      </c>
      <c r="J20" s="8"/>
      <c r="K20" s="8"/>
      <c r="L20" s="9"/>
      <c r="M20" s="8"/>
      <c r="N20" s="6" t="s">
        <v>53</v>
      </c>
      <c r="O20" s="6" t="s">
        <v>1066</v>
      </c>
      <c r="P20" s="6" t="s">
        <v>55</v>
      </c>
      <c r="Q20" s="6" t="s">
        <v>56</v>
      </c>
      <c r="R20" s="6"/>
    </row>
    <row r="21" spans="1:18" ht="140.1" customHeight="1">
      <c r="A21" s="7" t="s">
        <v>1074</v>
      </c>
      <c r="B21" s="7" t="s">
        <v>1064</v>
      </c>
      <c r="C21" s="7" t="s">
        <v>1048</v>
      </c>
      <c r="D21" s="7" t="s">
        <v>84</v>
      </c>
      <c r="E21" s="7" t="s">
        <v>49</v>
      </c>
      <c r="F21" s="7" t="s">
        <v>1040</v>
      </c>
      <c r="G21" s="7" t="s">
        <v>1075</v>
      </c>
      <c r="H21" s="7" t="s">
        <v>1050</v>
      </c>
      <c r="I21" s="8" t="s">
        <v>4</v>
      </c>
      <c r="J21" s="8"/>
      <c r="K21" s="8"/>
      <c r="L21" s="9"/>
      <c r="M21" s="8"/>
      <c r="N21" s="7" t="s">
        <v>53</v>
      </c>
      <c r="O21" s="7" t="s">
        <v>1066</v>
      </c>
      <c r="P21" s="7" t="s">
        <v>55</v>
      </c>
      <c r="Q21" s="7" t="s">
        <v>56</v>
      </c>
      <c r="R21" s="7"/>
    </row>
    <row r="22" spans="1:18" ht="140.1" customHeight="1">
      <c r="A22" s="6" t="s">
        <v>1076</v>
      </c>
      <c r="B22" s="6" t="s">
        <v>1064</v>
      </c>
      <c r="C22" s="6" t="s">
        <v>1052</v>
      </c>
      <c r="D22" s="6" t="s">
        <v>84</v>
      </c>
      <c r="E22" s="6" t="s">
        <v>49</v>
      </c>
      <c r="F22" s="6" t="s">
        <v>1040</v>
      </c>
      <c r="G22" s="6" t="s">
        <v>1077</v>
      </c>
      <c r="H22" s="6" t="s">
        <v>1050</v>
      </c>
      <c r="I22" s="8" t="s">
        <v>4</v>
      </c>
      <c r="J22" s="8"/>
      <c r="K22" s="8"/>
      <c r="L22" s="9"/>
      <c r="M22" s="8"/>
      <c r="N22" s="6" t="s">
        <v>53</v>
      </c>
      <c r="O22" s="6" t="s">
        <v>1066</v>
      </c>
      <c r="P22" s="6" t="s">
        <v>55</v>
      </c>
      <c r="Q22" s="6" t="s">
        <v>56</v>
      </c>
      <c r="R22" s="6"/>
    </row>
    <row r="23" spans="1:18" ht="140.1" customHeight="1">
      <c r="A23" s="7" t="s">
        <v>1078</v>
      </c>
      <c r="B23" s="7" t="s">
        <v>1064</v>
      </c>
      <c r="C23" s="7" t="s">
        <v>1055</v>
      </c>
      <c r="D23" s="7" t="s">
        <v>84</v>
      </c>
      <c r="E23" s="7" t="s">
        <v>49</v>
      </c>
      <c r="F23" s="7" t="s">
        <v>1026</v>
      </c>
      <c r="G23" s="7" t="s">
        <v>1079</v>
      </c>
      <c r="H23" s="7" t="s">
        <v>1057</v>
      </c>
      <c r="I23" s="8" t="s">
        <v>4</v>
      </c>
      <c r="J23" s="8"/>
      <c r="K23" s="8"/>
      <c r="L23" s="9"/>
      <c r="M23" s="8"/>
      <c r="N23" s="7" t="s">
        <v>53</v>
      </c>
      <c r="O23" s="7" t="s">
        <v>1066</v>
      </c>
      <c r="P23" s="7" t="s">
        <v>55</v>
      </c>
      <c r="Q23" s="7" t="s">
        <v>56</v>
      </c>
      <c r="R23" s="7"/>
    </row>
    <row r="24" spans="1:18" ht="140.1" customHeight="1">
      <c r="A24" s="6" t="s">
        <v>1080</v>
      </c>
      <c r="B24" s="6" t="s">
        <v>1064</v>
      </c>
      <c r="C24" s="6" t="s">
        <v>510</v>
      </c>
      <c r="D24" s="6" t="s">
        <v>84</v>
      </c>
      <c r="E24" s="6" t="s">
        <v>49</v>
      </c>
      <c r="F24" s="6" t="s">
        <v>1026</v>
      </c>
      <c r="G24" s="6" t="s">
        <v>1081</v>
      </c>
      <c r="H24" s="6" t="s">
        <v>1060</v>
      </c>
      <c r="I24" s="8" t="s">
        <v>4</v>
      </c>
      <c r="J24" s="8"/>
      <c r="K24" s="8"/>
      <c r="L24" s="9"/>
      <c r="M24" s="8"/>
      <c r="N24" s="6" t="s">
        <v>53</v>
      </c>
      <c r="O24" s="6" t="s">
        <v>1066</v>
      </c>
      <c r="P24" s="6" t="s">
        <v>55</v>
      </c>
      <c r="Q24" s="6" t="s">
        <v>56</v>
      </c>
      <c r="R24" s="6"/>
    </row>
    <row r="25" spans="1:18" ht="140.1" customHeight="1">
      <c r="A25" s="7" t="s">
        <v>1082</v>
      </c>
      <c r="B25" s="7" t="s">
        <v>1064</v>
      </c>
      <c r="C25" s="7" t="s">
        <v>519</v>
      </c>
      <c r="D25" s="7" t="s">
        <v>84</v>
      </c>
      <c r="E25" s="7" t="s">
        <v>49</v>
      </c>
      <c r="F25" s="7" t="s">
        <v>1026</v>
      </c>
      <c r="G25" s="7" t="s">
        <v>1083</v>
      </c>
      <c r="H25" s="7" t="s">
        <v>1060</v>
      </c>
      <c r="I25" s="8" t="s">
        <v>4</v>
      </c>
      <c r="J25" s="8"/>
      <c r="K25" s="8"/>
      <c r="L25" s="9"/>
      <c r="M25" s="8"/>
      <c r="N25" s="7" t="s">
        <v>53</v>
      </c>
      <c r="O25" s="7" t="s">
        <v>1066</v>
      </c>
      <c r="P25" s="7" t="s">
        <v>55</v>
      </c>
      <c r="Q25" s="7" t="s">
        <v>56</v>
      </c>
      <c r="R25" s="7"/>
    </row>
    <row r="26" spans="1:18" ht="140.1" customHeight="1">
      <c r="A26" s="6" t="s">
        <v>1084</v>
      </c>
      <c r="B26" s="6" t="s">
        <v>1085</v>
      </c>
      <c r="C26" s="6" t="s">
        <v>1025</v>
      </c>
      <c r="D26" s="6" t="s">
        <v>48</v>
      </c>
      <c r="E26" s="6" t="s">
        <v>49</v>
      </c>
      <c r="F26" s="6" t="s">
        <v>1026</v>
      </c>
      <c r="G26" s="6" t="s">
        <v>1086</v>
      </c>
      <c r="H26" s="6" t="s">
        <v>1028</v>
      </c>
      <c r="I26" s="8" t="s">
        <v>4</v>
      </c>
      <c r="J26" s="8"/>
      <c r="K26" s="8"/>
      <c r="L26" s="9"/>
      <c r="M26" s="8"/>
      <c r="N26" s="6" t="s">
        <v>53</v>
      </c>
      <c r="O26" s="6" t="s">
        <v>1087</v>
      </c>
      <c r="P26" s="6" t="s">
        <v>55</v>
      </c>
      <c r="Q26" s="6" t="s">
        <v>56</v>
      </c>
      <c r="R26" s="6"/>
    </row>
    <row r="27" spans="1:18" ht="140.1" customHeight="1">
      <c r="A27" s="7" t="s">
        <v>1088</v>
      </c>
      <c r="B27" s="7" t="s">
        <v>1085</v>
      </c>
      <c r="C27" s="7" t="s">
        <v>1031</v>
      </c>
      <c r="D27" s="7" t="s">
        <v>48</v>
      </c>
      <c r="E27" s="7" t="s">
        <v>49</v>
      </c>
      <c r="F27" s="7" t="s">
        <v>1032</v>
      </c>
      <c r="G27" s="7" t="s">
        <v>1089</v>
      </c>
      <c r="H27" s="7" t="s">
        <v>1034</v>
      </c>
      <c r="I27" s="8" t="s">
        <v>4</v>
      </c>
      <c r="J27" s="8"/>
      <c r="K27" s="8"/>
      <c r="L27" s="9"/>
      <c r="M27" s="8"/>
      <c r="N27" s="7" t="s">
        <v>53</v>
      </c>
      <c r="O27" s="7" t="s">
        <v>1087</v>
      </c>
      <c r="P27" s="7" t="s">
        <v>55</v>
      </c>
      <c r="Q27" s="7" t="s">
        <v>551</v>
      </c>
      <c r="R27" s="7"/>
    </row>
    <row r="28" spans="1:18" ht="140.1" customHeight="1">
      <c r="A28" s="6" t="s">
        <v>1090</v>
      </c>
      <c r="B28" s="6" t="s">
        <v>1085</v>
      </c>
      <c r="C28" s="6" t="s">
        <v>1036</v>
      </c>
      <c r="D28" s="6" t="s">
        <v>48</v>
      </c>
      <c r="E28" s="6" t="s">
        <v>49</v>
      </c>
      <c r="F28" s="6" t="s">
        <v>1037</v>
      </c>
      <c r="G28" s="6" t="s">
        <v>1089</v>
      </c>
      <c r="H28" s="6" t="s">
        <v>1034</v>
      </c>
      <c r="I28" s="8" t="s">
        <v>4</v>
      </c>
      <c r="J28" s="8"/>
      <c r="K28" s="8"/>
      <c r="L28" s="9"/>
      <c r="M28" s="8"/>
      <c r="N28" s="6" t="s">
        <v>53</v>
      </c>
      <c r="O28" s="6" t="s">
        <v>1087</v>
      </c>
      <c r="P28" s="6" t="s">
        <v>55</v>
      </c>
      <c r="Q28" s="6" t="s">
        <v>551</v>
      </c>
      <c r="R28" s="6"/>
    </row>
    <row r="29" spans="1:18" ht="140.1" customHeight="1">
      <c r="A29" s="7" t="s">
        <v>1091</v>
      </c>
      <c r="B29" s="7" t="s">
        <v>1085</v>
      </c>
      <c r="C29" s="7" t="s">
        <v>1039</v>
      </c>
      <c r="D29" s="7" t="s">
        <v>48</v>
      </c>
      <c r="E29" s="7" t="s">
        <v>49</v>
      </c>
      <c r="F29" s="7" t="s">
        <v>1040</v>
      </c>
      <c r="G29" s="7" t="s">
        <v>1092</v>
      </c>
      <c r="H29" s="7" t="s">
        <v>1042</v>
      </c>
      <c r="I29" s="8" t="s">
        <v>4</v>
      </c>
      <c r="J29" s="8"/>
      <c r="K29" s="8"/>
      <c r="L29" s="9"/>
      <c r="M29" s="8"/>
      <c r="N29" s="7" t="s">
        <v>53</v>
      </c>
      <c r="O29" s="7" t="s">
        <v>1087</v>
      </c>
      <c r="P29" s="7" t="s">
        <v>55</v>
      </c>
      <c r="Q29" s="7" t="s">
        <v>56</v>
      </c>
      <c r="R29" s="7"/>
    </row>
    <row r="30" spans="1:18" ht="140.1" customHeight="1">
      <c r="A30" s="6" t="s">
        <v>1093</v>
      </c>
      <c r="B30" s="6" t="s">
        <v>1085</v>
      </c>
      <c r="C30" s="6" t="s">
        <v>1044</v>
      </c>
      <c r="D30" s="6" t="s">
        <v>48</v>
      </c>
      <c r="E30" s="6" t="s">
        <v>49</v>
      </c>
      <c r="F30" s="6" t="s">
        <v>1040</v>
      </c>
      <c r="G30" s="6" t="s">
        <v>1094</v>
      </c>
      <c r="H30" s="6" t="s">
        <v>1046</v>
      </c>
      <c r="I30" s="8" t="s">
        <v>4</v>
      </c>
      <c r="J30" s="8"/>
      <c r="K30" s="8"/>
      <c r="L30" s="9"/>
      <c r="M30" s="8"/>
      <c r="N30" s="6" t="s">
        <v>53</v>
      </c>
      <c r="O30" s="6" t="s">
        <v>1087</v>
      </c>
      <c r="P30" s="6" t="s">
        <v>55</v>
      </c>
      <c r="Q30" s="6" t="s">
        <v>56</v>
      </c>
      <c r="R30" s="6"/>
    </row>
    <row r="31" spans="1:18" ht="140.1" customHeight="1">
      <c r="A31" s="7" t="s">
        <v>1095</v>
      </c>
      <c r="B31" s="7" t="s">
        <v>1085</v>
      </c>
      <c r="C31" s="7" t="s">
        <v>1048</v>
      </c>
      <c r="D31" s="7" t="s">
        <v>84</v>
      </c>
      <c r="E31" s="7" t="s">
        <v>49</v>
      </c>
      <c r="F31" s="7" t="s">
        <v>1040</v>
      </c>
      <c r="G31" s="7" t="s">
        <v>1096</v>
      </c>
      <c r="H31" s="7" t="s">
        <v>1050</v>
      </c>
      <c r="I31" s="8" t="s">
        <v>4</v>
      </c>
      <c r="J31" s="8"/>
      <c r="K31" s="8"/>
      <c r="L31" s="9"/>
      <c r="M31" s="8"/>
      <c r="N31" s="7" t="s">
        <v>53</v>
      </c>
      <c r="O31" s="7" t="s">
        <v>1087</v>
      </c>
      <c r="P31" s="7" t="s">
        <v>55</v>
      </c>
      <c r="Q31" s="7" t="s">
        <v>56</v>
      </c>
      <c r="R31" s="7"/>
    </row>
    <row r="32" spans="1:18" ht="140.1" customHeight="1">
      <c r="A32" s="6" t="s">
        <v>1097</v>
      </c>
      <c r="B32" s="6" t="s">
        <v>1085</v>
      </c>
      <c r="C32" s="6" t="s">
        <v>1052</v>
      </c>
      <c r="D32" s="6" t="s">
        <v>84</v>
      </c>
      <c r="E32" s="6" t="s">
        <v>49</v>
      </c>
      <c r="F32" s="6" t="s">
        <v>1040</v>
      </c>
      <c r="G32" s="6" t="s">
        <v>1098</v>
      </c>
      <c r="H32" s="6" t="s">
        <v>1050</v>
      </c>
      <c r="I32" s="8" t="s">
        <v>4</v>
      </c>
      <c r="J32" s="8"/>
      <c r="K32" s="8"/>
      <c r="L32" s="9"/>
      <c r="M32" s="8"/>
      <c r="N32" s="6" t="s">
        <v>53</v>
      </c>
      <c r="O32" s="6" t="s">
        <v>1087</v>
      </c>
      <c r="P32" s="6" t="s">
        <v>55</v>
      </c>
      <c r="Q32" s="6" t="s">
        <v>56</v>
      </c>
      <c r="R32" s="6"/>
    </row>
    <row r="33" spans="1:18" ht="140.1" customHeight="1">
      <c r="A33" s="7" t="s">
        <v>1099</v>
      </c>
      <c r="B33" s="7" t="s">
        <v>1085</v>
      </c>
      <c r="C33" s="7" t="s">
        <v>1055</v>
      </c>
      <c r="D33" s="7" t="s">
        <v>84</v>
      </c>
      <c r="E33" s="7" t="s">
        <v>49</v>
      </c>
      <c r="F33" s="7" t="s">
        <v>1026</v>
      </c>
      <c r="G33" s="7" t="s">
        <v>1100</v>
      </c>
      <c r="H33" s="7" t="s">
        <v>1057</v>
      </c>
      <c r="I33" s="8" t="s">
        <v>4</v>
      </c>
      <c r="J33" s="8"/>
      <c r="K33" s="8"/>
      <c r="L33" s="9"/>
      <c r="M33" s="8"/>
      <c r="N33" s="7" t="s">
        <v>53</v>
      </c>
      <c r="O33" s="7" t="s">
        <v>1087</v>
      </c>
      <c r="P33" s="7" t="s">
        <v>55</v>
      </c>
      <c r="Q33" s="7" t="s">
        <v>56</v>
      </c>
      <c r="R33" s="7"/>
    </row>
    <row r="34" spans="1:18" ht="140.1" customHeight="1">
      <c r="A34" s="6" t="s">
        <v>1101</v>
      </c>
      <c r="B34" s="6" t="s">
        <v>1085</v>
      </c>
      <c r="C34" s="6" t="s">
        <v>510</v>
      </c>
      <c r="D34" s="6" t="s">
        <v>84</v>
      </c>
      <c r="E34" s="6" t="s">
        <v>49</v>
      </c>
      <c r="F34" s="6" t="s">
        <v>1026</v>
      </c>
      <c r="G34" s="6" t="s">
        <v>1102</v>
      </c>
      <c r="H34" s="6" t="s">
        <v>1060</v>
      </c>
      <c r="I34" s="8" t="s">
        <v>4</v>
      </c>
      <c r="J34" s="8"/>
      <c r="K34" s="8"/>
      <c r="L34" s="9"/>
      <c r="M34" s="8"/>
      <c r="N34" s="6" t="s">
        <v>53</v>
      </c>
      <c r="O34" s="6" t="s">
        <v>1087</v>
      </c>
      <c r="P34" s="6" t="s">
        <v>55</v>
      </c>
      <c r="Q34" s="6" t="s">
        <v>56</v>
      </c>
      <c r="R34" s="6"/>
    </row>
    <row r="35" spans="1:18" ht="140.1" customHeight="1">
      <c r="A35" s="7" t="s">
        <v>1103</v>
      </c>
      <c r="B35" s="7" t="s">
        <v>1085</v>
      </c>
      <c r="C35" s="7" t="s">
        <v>519</v>
      </c>
      <c r="D35" s="7" t="s">
        <v>84</v>
      </c>
      <c r="E35" s="7" t="s">
        <v>49</v>
      </c>
      <c r="F35" s="7" t="s">
        <v>1026</v>
      </c>
      <c r="G35" s="7" t="s">
        <v>1104</v>
      </c>
      <c r="H35" s="7" t="s">
        <v>1060</v>
      </c>
      <c r="I35" s="8" t="s">
        <v>4</v>
      </c>
      <c r="J35" s="8"/>
      <c r="K35" s="8"/>
      <c r="L35" s="9"/>
      <c r="M35" s="8"/>
      <c r="N35" s="7" t="s">
        <v>53</v>
      </c>
      <c r="O35" s="7" t="s">
        <v>1087</v>
      </c>
      <c r="P35" s="7" t="s">
        <v>55</v>
      </c>
      <c r="Q35" s="7" t="s">
        <v>56</v>
      </c>
      <c r="R35" s="7"/>
    </row>
    <row r="36" spans="1:18" ht="140.1" customHeight="1">
      <c r="A36" s="6" t="s">
        <v>1105</v>
      </c>
      <c r="B36" s="6" t="s">
        <v>1106</v>
      </c>
      <c r="C36" s="6" t="s">
        <v>1025</v>
      </c>
      <c r="D36" s="6" t="s">
        <v>48</v>
      </c>
      <c r="E36" s="6" t="s">
        <v>49</v>
      </c>
      <c r="F36" s="6" t="s">
        <v>1026</v>
      </c>
      <c r="G36" s="6" t="s">
        <v>1107</v>
      </c>
      <c r="H36" s="6" t="s">
        <v>1028</v>
      </c>
      <c r="I36" s="8" t="s">
        <v>4</v>
      </c>
      <c r="J36" s="8"/>
      <c r="K36" s="8"/>
      <c r="L36" s="9"/>
      <c r="M36" s="8"/>
      <c r="N36" s="6" t="s">
        <v>53</v>
      </c>
      <c r="O36" s="6" t="s">
        <v>1108</v>
      </c>
      <c r="P36" s="6" t="s">
        <v>55</v>
      </c>
      <c r="Q36" s="6" t="s">
        <v>56</v>
      </c>
      <c r="R36" s="6"/>
    </row>
    <row r="37" spans="1:18" ht="140.1" customHeight="1">
      <c r="A37" s="7" t="s">
        <v>1109</v>
      </c>
      <c r="B37" s="7" t="s">
        <v>1106</v>
      </c>
      <c r="C37" s="7" t="s">
        <v>1031</v>
      </c>
      <c r="D37" s="7" t="s">
        <v>48</v>
      </c>
      <c r="E37" s="7" t="s">
        <v>49</v>
      </c>
      <c r="F37" s="7" t="s">
        <v>1032</v>
      </c>
      <c r="G37" s="7" t="s">
        <v>1110</v>
      </c>
      <c r="H37" s="7" t="s">
        <v>1034</v>
      </c>
      <c r="I37" s="8" t="s">
        <v>4</v>
      </c>
      <c r="J37" s="8"/>
      <c r="K37" s="8"/>
      <c r="L37" s="9"/>
      <c r="M37" s="8"/>
      <c r="N37" s="7" t="s">
        <v>53</v>
      </c>
      <c r="O37" s="7" t="s">
        <v>1108</v>
      </c>
      <c r="P37" s="7" t="s">
        <v>55</v>
      </c>
      <c r="Q37" s="7" t="s">
        <v>551</v>
      </c>
      <c r="R37" s="7"/>
    </row>
    <row r="38" spans="1:18" ht="140.1" customHeight="1">
      <c r="A38" s="6" t="s">
        <v>1111</v>
      </c>
      <c r="B38" s="6" t="s">
        <v>1106</v>
      </c>
      <c r="C38" s="6" t="s">
        <v>1036</v>
      </c>
      <c r="D38" s="6" t="s">
        <v>48</v>
      </c>
      <c r="E38" s="6" t="s">
        <v>49</v>
      </c>
      <c r="F38" s="6" t="s">
        <v>1037</v>
      </c>
      <c r="G38" s="6" t="s">
        <v>1110</v>
      </c>
      <c r="H38" s="6" t="s">
        <v>1034</v>
      </c>
      <c r="I38" s="8" t="s">
        <v>4</v>
      </c>
      <c r="J38" s="8"/>
      <c r="K38" s="8"/>
      <c r="L38" s="9"/>
      <c r="M38" s="8"/>
      <c r="N38" s="6" t="s">
        <v>53</v>
      </c>
      <c r="O38" s="6" t="s">
        <v>1108</v>
      </c>
      <c r="P38" s="6" t="s">
        <v>55</v>
      </c>
      <c r="Q38" s="6" t="s">
        <v>551</v>
      </c>
      <c r="R38" s="6"/>
    </row>
    <row r="39" spans="1:18" ht="140.1" customHeight="1">
      <c r="A39" s="7" t="s">
        <v>1112</v>
      </c>
      <c r="B39" s="7" t="s">
        <v>1106</v>
      </c>
      <c r="C39" s="7" t="s">
        <v>1039</v>
      </c>
      <c r="D39" s="7" t="s">
        <v>48</v>
      </c>
      <c r="E39" s="7" t="s">
        <v>49</v>
      </c>
      <c r="F39" s="7" t="s">
        <v>1040</v>
      </c>
      <c r="G39" s="7" t="s">
        <v>1113</v>
      </c>
      <c r="H39" s="7" t="s">
        <v>1042</v>
      </c>
      <c r="I39" s="8" t="s">
        <v>4</v>
      </c>
      <c r="J39" s="8"/>
      <c r="K39" s="8"/>
      <c r="L39" s="9"/>
      <c r="M39" s="8"/>
      <c r="N39" s="7" t="s">
        <v>53</v>
      </c>
      <c r="O39" s="7" t="s">
        <v>1108</v>
      </c>
      <c r="P39" s="7" t="s">
        <v>55</v>
      </c>
      <c r="Q39" s="7" t="s">
        <v>56</v>
      </c>
      <c r="R39" s="7"/>
    </row>
    <row r="40" spans="1:18" ht="140.1" customHeight="1">
      <c r="A40" s="6" t="s">
        <v>1114</v>
      </c>
      <c r="B40" s="6" t="s">
        <v>1106</v>
      </c>
      <c r="C40" s="6" t="s">
        <v>1044</v>
      </c>
      <c r="D40" s="6" t="s">
        <v>48</v>
      </c>
      <c r="E40" s="6" t="s">
        <v>49</v>
      </c>
      <c r="F40" s="6" t="s">
        <v>1040</v>
      </c>
      <c r="G40" s="6" t="s">
        <v>1115</v>
      </c>
      <c r="H40" s="6" t="s">
        <v>1046</v>
      </c>
      <c r="I40" s="8" t="s">
        <v>4</v>
      </c>
      <c r="J40" s="8"/>
      <c r="K40" s="8"/>
      <c r="L40" s="9"/>
      <c r="M40" s="8"/>
      <c r="N40" s="6" t="s">
        <v>53</v>
      </c>
      <c r="O40" s="6" t="s">
        <v>1108</v>
      </c>
      <c r="P40" s="6" t="s">
        <v>55</v>
      </c>
      <c r="Q40" s="6" t="s">
        <v>56</v>
      </c>
      <c r="R40" s="6"/>
    </row>
    <row r="41" spans="1:18" ht="140.1" customHeight="1">
      <c r="A41" s="7" t="s">
        <v>1116</v>
      </c>
      <c r="B41" s="7" t="s">
        <v>1106</v>
      </c>
      <c r="C41" s="7" t="s">
        <v>1048</v>
      </c>
      <c r="D41" s="7" t="s">
        <v>84</v>
      </c>
      <c r="E41" s="7" t="s">
        <v>49</v>
      </c>
      <c r="F41" s="7" t="s">
        <v>1040</v>
      </c>
      <c r="G41" s="7" t="s">
        <v>1117</v>
      </c>
      <c r="H41" s="7" t="s">
        <v>1050</v>
      </c>
      <c r="I41" s="8" t="s">
        <v>4</v>
      </c>
      <c r="J41" s="8"/>
      <c r="K41" s="8"/>
      <c r="L41" s="9"/>
      <c r="M41" s="8"/>
      <c r="N41" s="7" t="s">
        <v>53</v>
      </c>
      <c r="O41" s="7" t="s">
        <v>1108</v>
      </c>
      <c r="P41" s="7" t="s">
        <v>55</v>
      </c>
      <c r="Q41" s="7" t="s">
        <v>56</v>
      </c>
      <c r="R41" s="7"/>
    </row>
    <row r="42" spans="1:18" ht="140.1" customHeight="1">
      <c r="A42" s="6" t="s">
        <v>1118</v>
      </c>
      <c r="B42" s="6" t="s">
        <v>1106</v>
      </c>
      <c r="C42" s="6" t="s">
        <v>1052</v>
      </c>
      <c r="D42" s="6" t="s">
        <v>84</v>
      </c>
      <c r="E42" s="6" t="s">
        <v>49</v>
      </c>
      <c r="F42" s="6" t="s">
        <v>1040</v>
      </c>
      <c r="G42" s="6" t="s">
        <v>1119</v>
      </c>
      <c r="H42" s="6" t="s">
        <v>1050</v>
      </c>
      <c r="I42" s="8" t="s">
        <v>4</v>
      </c>
      <c r="J42" s="8"/>
      <c r="K42" s="8"/>
      <c r="L42" s="9"/>
      <c r="M42" s="8"/>
      <c r="N42" s="6" t="s">
        <v>53</v>
      </c>
      <c r="O42" s="6" t="s">
        <v>1108</v>
      </c>
      <c r="P42" s="6" t="s">
        <v>55</v>
      </c>
      <c r="Q42" s="6" t="s">
        <v>56</v>
      </c>
      <c r="R42" s="6"/>
    </row>
    <row r="43" spans="1:18" ht="140.1" customHeight="1">
      <c r="A43" s="7" t="s">
        <v>1120</v>
      </c>
      <c r="B43" s="7" t="s">
        <v>1106</v>
      </c>
      <c r="C43" s="7" t="s">
        <v>1055</v>
      </c>
      <c r="D43" s="7" t="s">
        <v>84</v>
      </c>
      <c r="E43" s="7" t="s">
        <v>49</v>
      </c>
      <c r="F43" s="7" t="s">
        <v>1026</v>
      </c>
      <c r="G43" s="7" t="s">
        <v>1121</v>
      </c>
      <c r="H43" s="7" t="s">
        <v>1057</v>
      </c>
      <c r="I43" s="8" t="s">
        <v>4</v>
      </c>
      <c r="J43" s="8"/>
      <c r="K43" s="8"/>
      <c r="L43" s="9"/>
      <c r="M43" s="8"/>
      <c r="N43" s="7" t="s">
        <v>53</v>
      </c>
      <c r="O43" s="7" t="s">
        <v>1108</v>
      </c>
      <c r="P43" s="7" t="s">
        <v>55</v>
      </c>
      <c r="Q43" s="7" t="s">
        <v>56</v>
      </c>
      <c r="R43" s="7"/>
    </row>
    <row r="44" spans="1:18" ht="140.1" customHeight="1">
      <c r="A44" s="6" t="s">
        <v>1122</v>
      </c>
      <c r="B44" s="6" t="s">
        <v>1106</v>
      </c>
      <c r="C44" s="6" t="s">
        <v>510</v>
      </c>
      <c r="D44" s="6" t="s">
        <v>84</v>
      </c>
      <c r="E44" s="6" t="s">
        <v>49</v>
      </c>
      <c r="F44" s="6" t="s">
        <v>1026</v>
      </c>
      <c r="G44" s="6" t="s">
        <v>1123</v>
      </c>
      <c r="H44" s="6" t="s">
        <v>1060</v>
      </c>
      <c r="I44" s="8" t="s">
        <v>4</v>
      </c>
      <c r="J44" s="8"/>
      <c r="K44" s="8"/>
      <c r="L44" s="9"/>
      <c r="M44" s="8"/>
      <c r="N44" s="6" t="s">
        <v>53</v>
      </c>
      <c r="O44" s="6" t="s">
        <v>1108</v>
      </c>
      <c r="P44" s="6" t="s">
        <v>55</v>
      </c>
      <c r="Q44" s="6" t="s">
        <v>56</v>
      </c>
      <c r="R44" s="6"/>
    </row>
    <row r="45" spans="1:18" ht="140.1" customHeight="1">
      <c r="A45" s="7" t="s">
        <v>1124</v>
      </c>
      <c r="B45" s="7" t="s">
        <v>1106</v>
      </c>
      <c r="C45" s="7" t="s">
        <v>519</v>
      </c>
      <c r="D45" s="7" t="s">
        <v>84</v>
      </c>
      <c r="E45" s="7" t="s">
        <v>49</v>
      </c>
      <c r="F45" s="7" t="s">
        <v>1026</v>
      </c>
      <c r="G45" s="7" t="s">
        <v>1125</v>
      </c>
      <c r="H45" s="7" t="s">
        <v>1060</v>
      </c>
      <c r="I45" s="8" t="s">
        <v>4</v>
      </c>
      <c r="J45" s="8"/>
      <c r="K45" s="8"/>
      <c r="L45" s="9"/>
      <c r="M45" s="8"/>
      <c r="N45" s="7" t="s">
        <v>53</v>
      </c>
      <c r="O45" s="7" t="s">
        <v>1108</v>
      </c>
      <c r="P45" s="7" t="s">
        <v>55</v>
      </c>
      <c r="Q45" s="7" t="s">
        <v>56</v>
      </c>
      <c r="R45" s="7"/>
    </row>
    <row r="46" spans="1:18" ht="140.1" customHeight="1">
      <c r="A46" s="6" t="s">
        <v>1126</v>
      </c>
      <c r="B46" s="6" t="s">
        <v>1127</v>
      </c>
      <c r="C46" s="6" t="s">
        <v>1025</v>
      </c>
      <c r="D46" s="6" t="s">
        <v>48</v>
      </c>
      <c r="E46" s="6" t="s">
        <v>49</v>
      </c>
      <c r="F46" s="6" t="s">
        <v>1026</v>
      </c>
      <c r="G46" s="6" t="s">
        <v>1128</v>
      </c>
      <c r="H46" s="6" t="s">
        <v>1028</v>
      </c>
      <c r="I46" s="8" t="s">
        <v>4</v>
      </c>
      <c r="J46" s="8"/>
      <c r="K46" s="8"/>
      <c r="L46" s="9"/>
      <c r="M46" s="8"/>
      <c r="N46" s="6" t="s">
        <v>53</v>
      </c>
      <c r="O46" s="6" t="s">
        <v>1129</v>
      </c>
      <c r="P46" s="6" t="s">
        <v>55</v>
      </c>
      <c r="Q46" s="6" t="s">
        <v>56</v>
      </c>
      <c r="R46" s="6"/>
    </row>
    <row r="47" spans="1:18" ht="140.1" customHeight="1">
      <c r="A47" s="7" t="s">
        <v>1130</v>
      </c>
      <c r="B47" s="7" t="s">
        <v>1127</v>
      </c>
      <c r="C47" s="7" t="s">
        <v>1031</v>
      </c>
      <c r="D47" s="7" t="s">
        <v>48</v>
      </c>
      <c r="E47" s="7" t="s">
        <v>49</v>
      </c>
      <c r="F47" s="7" t="s">
        <v>1032</v>
      </c>
      <c r="G47" s="7" t="s">
        <v>1131</v>
      </c>
      <c r="H47" s="7" t="s">
        <v>1034</v>
      </c>
      <c r="I47" s="8" t="s">
        <v>4</v>
      </c>
      <c r="J47" s="8"/>
      <c r="K47" s="8"/>
      <c r="L47" s="9"/>
      <c r="M47" s="8"/>
      <c r="N47" s="7" t="s">
        <v>53</v>
      </c>
      <c r="O47" s="7" t="s">
        <v>1129</v>
      </c>
      <c r="P47" s="7" t="s">
        <v>55</v>
      </c>
      <c r="Q47" s="7" t="s">
        <v>551</v>
      </c>
      <c r="R47" s="7"/>
    </row>
    <row r="48" spans="1:18" ht="140.1" customHeight="1">
      <c r="A48" s="6" t="s">
        <v>1132</v>
      </c>
      <c r="B48" s="6" t="s">
        <v>1127</v>
      </c>
      <c r="C48" s="6" t="s">
        <v>1036</v>
      </c>
      <c r="D48" s="6" t="s">
        <v>48</v>
      </c>
      <c r="E48" s="6" t="s">
        <v>49</v>
      </c>
      <c r="F48" s="6" t="s">
        <v>1037</v>
      </c>
      <c r="G48" s="6" t="s">
        <v>1131</v>
      </c>
      <c r="H48" s="6" t="s">
        <v>1034</v>
      </c>
      <c r="I48" s="8" t="s">
        <v>4</v>
      </c>
      <c r="J48" s="8"/>
      <c r="K48" s="8"/>
      <c r="L48" s="9"/>
      <c r="M48" s="8"/>
      <c r="N48" s="6" t="s">
        <v>53</v>
      </c>
      <c r="O48" s="6" t="s">
        <v>1129</v>
      </c>
      <c r="P48" s="6" t="s">
        <v>55</v>
      </c>
      <c r="Q48" s="6" t="s">
        <v>551</v>
      </c>
      <c r="R48" s="6"/>
    </row>
    <row r="49" spans="1:18" ht="140.1" customHeight="1">
      <c r="A49" s="7" t="s">
        <v>1133</v>
      </c>
      <c r="B49" s="7" t="s">
        <v>1127</v>
      </c>
      <c r="C49" s="7" t="s">
        <v>1039</v>
      </c>
      <c r="D49" s="7" t="s">
        <v>48</v>
      </c>
      <c r="E49" s="7" t="s">
        <v>49</v>
      </c>
      <c r="F49" s="7" t="s">
        <v>1040</v>
      </c>
      <c r="G49" s="7" t="s">
        <v>1134</v>
      </c>
      <c r="H49" s="7" t="s">
        <v>1042</v>
      </c>
      <c r="I49" s="8" t="s">
        <v>4</v>
      </c>
      <c r="J49" s="8"/>
      <c r="K49" s="8"/>
      <c r="L49" s="9"/>
      <c r="M49" s="8"/>
      <c r="N49" s="7" t="s">
        <v>53</v>
      </c>
      <c r="O49" s="7" t="s">
        <v>1129</v>
      </c>
      <c r="P49" s="7" t="s">
        <v>55</v>
      </c>
      <c r="Q49" s="7" t="s">
        <v>56</v>
      </c>
      <c r="R49" s="7"/>
    </row>
    <row r="50" spans="1:18" ht="140.1" customHeight="1">
      <c r="A50" s="6" t="s">
        <v>1135</v>
      </c>
      <c r="B50" s="6" t="s">
        <v>1127</v>
      </c>
      <c r="C50" s="6" t="s">
        <v>1044</v>
      </c>
      <c r="D50" s="6" t="s">
        <v>48</v>
      </c>
      <c r="E50" s="6" t="s">
        <v>49</v>
      </c>
      <c r="F50" s="6" t="s">
        <v>1040</v>
      </c>
      <c r="G50" s="6" t="s">
        <v>1136</v>
      </c>
      <c r="H50" s="6" t="s">
        <v>1046</v>
      </c>
      <c r="I50" s="8" t="s">
        <v>4</v>
      </c>
      <c r="J50" s="8"/>
      <c r="K50" s="8"/>
      <c r="L50" s="9"/>
      <c r="M50" s="8"/>
      <c r="N50" s="6" t="s">
        <v>53</v>
      </c>
      <c r="O50" s="6" t="s">
        <v>1129</v>
      </c>
      <c r="P50" s="6" t="s">
        <v>55</v>
      </c>
      <c r="Q50" s="6" t="s">
        <v>56</v>
      </c>
      <c r="R50" s="6"/>
    </row>
    <row r="51" spans="1:18" ht="140.1" customHeight="1">
      <c r="A51" s="7" t="s">
        <v>1137</v>
      </c>
      <c r="B51" s="7" t="s">
        <v>1127</v>
      </c>
      <c r="C51" s="7" t="s">
        <v>1048</v>
      </c>
      <c r="D51" s="7" t="s">
        <v>84</v>
      </c>
      <c r="E51" s="7" t="s">
        <v>49</v>
      </c>
      <c r="F51" s="7" t="s">
        <v>1040</v>
      </c>
      <c r="G51" s="7" t="s">
        <v>1138</v>
      </c>
      <c r="H51" s="7" t="s">
        <v>1050</v>
      </c>
      <c r="I51" s="8" t="s">
        <v>4</v>
      </c>
      <c r="J51" s="8"/>
      <c r="K51" s="8"/>
      <c r="L51" s="9"/>
      <c r="M51" s="8"/>
      <c r="N51" s="7" t="s">
        <v>53</v>
      </c>
      <c r="O51" s="7" t="s">
        <v>1129</v>
      </c>
      <c r="P51" s="7" t="s">
        <v>55</v>
      </c>
      <c r="Q51" s="7" t="s">
        <v>56</v>
      </c>
      <c r="R51" s="7"/>
    </row>
    <row r="52" spans="1:18" ht="140.1" customHeight="1">
      <c r="A52" s="6" t="s">
        <v>1139</v>
      </c>
      <c r="B52" s="6" t="s">
        <v>1127</v>
      </c>
      <c r="C52" s="6" t="s">
        <v>1052</v>
      </c>
      <c r="D52" s="6" t="s">
        <v>84</v>
      </c>
      <c r="E52" s="6" t="s">
        <v>49</v>
      </c>
      <c r="F52" s="6" t="s">
        <v>1040</v>
      </c>
      <c r="G52" s="6" t="s">
        <v>1140</v>
      </c>
      <c r="H52" s="6" t="s">
        <v>1050</v>
      </c>
      <c r="I52" s="8" t="s">
        <v>4</v>
      </c>
      <c r="J52" s="8"/>
      <c r="K52" s="8"/>
      <c r="L52" s="9"/>
      <c r="M52" s="8"/>
      <c r="N52" s="6" t="s">
        <v>53</v>
      </c>
      <c r="O52" s="6" t="s">
        <v>1129</v>
      </c>
      <c r="P52" s="6" t="s">
        <v>55</v>
      </c>
      <c r="Q52" s="6" t="s">
        <v>56</v>
      </c>
      <c r="R52" s="6"/>
    </row>
    <row r="53" spans="1:18" ht="140.1" customHeight="1">
      <c r="A53" s="7" t="s">
        <v>1141</v>
      </c>
      <c r="B53" s="7" t="s">
        <v>1127</v>
      </c>
      <c r="C53" s="7" t="s">
        <v>1055</v>
      </c>
      <c r="D53" s="7" t="s">
        <v>84</v>
      </c>
      <c r="E53" s="7" t="s">
        <v>49</v>
      </c>
      <c r="F53" s="7" t="s">
        <v>1026</v>
      </c>
      <c r="G53" s="7" t="s">
        <v>1142</v>
      </c>
      <c r="H53" s="7" t="s">
        <v>1057</v>
      </c>
      <c r="I53" s="8" t="s">
        <v>4</v>
      </c>
      <c r="J53" s="8"/>
      <c r="K53" s="8"/>
      <c r="L53" s="9"/>
      <c r="M53" s="8"/>
      <c r="N53" s="7" t="s">
        <v>53</v>
      </c>
      <c r="O53" s="7" t="s">
        <v>1129</v>
      </c>
      <c r="P53" s="7" t="s">
        <v>55</v>
      </c>
      <c r="Q53" s="7" t="s">
        <v>56</v>
      </c>
      <c r="R53" s="7"/>
    </row>
    <row r="54" spans="1:18" ht="140.1" customHeight="1">
      <c r="A54" s="6" t="s">
        <v>1143</v>
      </c>
      <c r="B54" s="6" t="s">
        <v>1127</v>
      </c>
      <c r="C54" s="6" t="s">
        <v>510</v>
      </c>
      <c r="D54" s="6" t="s">
        <v>84</v>
      </c>
      <c r="E54" s="6" t="s">
        <v>49</v>
      </c>
      <c r="F54" s="6" t="s">
        <v>1026</v>
      </c>
      <c r="G54" s="6" t="s">
        <v>1144</v>
      </c>
      <c r="H54" s="6" t="s">
        <v>1060</v>
      </c>
      <c r="I54" s="8" t="s">
        <v>4</v>
      </c>
      <c r="J54" s="8"/>
      <c r="K54" s="8"/>
      <c r="L54" s="9"/>
      <c r="M54" s="8"/>
      <c r="N54" s="6" t="s">
        <v>53</v>
      </c>
      <c r="O54" s="6" t="s">
        <v>1129</v>
      </c>
      <c r="P54" s="6" t="s">
        <v>55</v>
      </c>
      <c r="Q54" s="6" t="s">
        <v>56</v>
      </c>
      <c r="R54" s="6"/>
    </row>
    <row r="55" spans="1:18" ht="140.1" customHeight="1">
      <c r="A55" s="7" t="s">
        <v>1145</v>
      </c>
      <c r="B55" s="7" t="s">
        <v>1127</v>
      </c>
      <c r="C55" s="7" t="s">
        <v>519</v>
      </c>
      <c r="D55" s="7" t="s">
        <v>84</v>
      </c>
      <c r="E55" s="7" t="s">
        <v>49</v>
      </c>
      <c r="F55" s="7" t="s">
        <v>1026</v>
      </c>
      <c r="G55" s="7" t="s">
        <v>1146</v>
      </c>
      <c r="H55" s="7" t="s">
        <v>1060</v>
      </c>
      <c r="I55" s="8" t="s">
        <v>4</v>
      </c>
      <c r="J55" s="8"/>
      <c r="K55" s="8"/>
      <c r="L55" s="9"/>
      <c r="M55" s="8"/>
      <c r="N55" s="7" t="s">
        <v>53</v>
      </c>
      <c r="O55" s="7" t="s">
        <v>1129</v>
      </c>
      <c r="P55" s="7" t="s">
        <v>55</v>
      </c>
      <c r="Q55" s="7" t="s">
        <v>56</v>
      </c>
      <c r="R55" s="7"/>
    </row>
    <row r="56" spans="1:18" ht="140.1" customHeight="1">
      <c r="A56" s="6" t="s">
        <v>1147</v>
      </c>
      <c r="B56" s="6" t="s">
        <v>1148</v>
      </c>
      <c r="C56" s="6" t="s">
        <v>1025</v>
      </c>
      <c r="D56" s="6" t="s">
        <v>48</v>
      </c>
      <c r="E56" s="6" t="s">
        <v>49</v>
      </c>
      <c r="F56" s="6" t="s">
        <v>1026</v>
      </c>
      <c r="G56" s="6" t="s">
        <v>1149</v>
      </c>
      <c r="H56" s="6" t="s">
        <v>1028</v>
      </c>
      <c r="I56" s="8" t="s">
        <v>4</v>
      </c>
      <c r="J56" s="8"/>
      <c r="K56" s="8"/>
      <c r="L56" s="9"/>
      <c r="M56" s="8"/>
      <c r="N56" s="6" t="s">
        <v>53</v>
      </c>
      <c r="O56" s="6" t="s">
        <v>1150</v>
      </c>
      <c r="P56" s="6" t="s">
        <v>55</v>
      </c>
      <c r="Q56" s="6" t="s">
        <v>56</v>
      </c>
      <c r="R56" s="6"/>
    </row>
    <row r="57" spans="1:18" ht="140.1" customHeight="1">
      <c r="A57" s="7" t="s">
        <v>1151</v>
      </c>
      <c r="B57" s="7" t="s">
        <v>1148</v>
      </c>
      <c r="C57" s="7" t="s">
        <v>1031</v>
      </c>
      <c r="D57" s="7" t="s">
        <v>48</v>
      </c>
      <c r="E57" s="7" t="s">
        <v>49</v>
      </c>
      <c r="F57" s="7" t="s">
        <v>1032</v>
      </c>
      <c r="G57" s="7" t="s">
        <v>1152</v>
      </c>
      <c r="H57" s="7" t="s">
        <v>1034</v>
      </c>
      <c r="I57" s="8" t="s">
        <v>4</v>
      </c>
      <c r="J57" s="8"/>
      <c r="K57" s="8"/>
      <c r="L57" s="9"/>
      <c r="M57" s="8"/>
      <c r="N57" s="7" t="s">
        <v>53</v>
      </c>
      <c r="O57" s="7" t="s">
        <v>1150</v>
      </c>
      <c r="P57" s="7" t="s">
        <v>55</v>
      </c>
      <c r="Q57" s="7" t="s">
        <v>551</v>
      </c>
      <c r="R57" s="7"/>
    </row>
    <row r="58" spans="1:18" ht="140.1" customHeight="1">
      <c r="A58" s="6" t="s">
        <v>1153</v>
      </c>
      <c r="B58" s="6" t="s">
        <v>1148</v>
      </c>
      <c r="C58" s="6" t="s">
        <v>1036</v>
      </c>
      <c r="D58" s="6" t="s">
        <v>48</v>
      </c>
      <c r="E58" s="6" t="s">
        <v>49</v>
      </c>
      <c r="F58" s="6" t="s">
        <v>1037</v>
      </c>
      <c r="G58" s="6" t="s">
        <v>1152</v>
      </c>
      <c r="H58" s="6" t="s">
        <v>1034</v>
      </c>
      <c r="I58" s="8" t="s">
        <v>4</v>
      </c>
      <c r="J58" s="8"/>
      <c r="K58" s="8"/>
      <c r="L58" s="9"/>
      <c r="M58" s="8"/>
      <c r="N58" s="6" t="s">
        <v>53</v>
      </c>
      <c r="O58" s="6" t="s">
        <v>1150</v>
      </c>
      <c r="P58" s="6" t="s">
        <v>55</v>
      </c>
      <c r="Q58" s="6" t="s">
        <v>551</v>
      </c>
      <c r="R58" s="6"/>
    </row>
    <row r="59" spans="1:18" ht="140.1" customHeight="1">
      <c r="A59" s="7" t="s">
        <v>1154</v>
      </c>
      <c r="B59" s="7" t="s">
        <v>1148</v>
      </c>
      <c r="C59" s="7" t="s">
        <v>1039</v>
      </c>
      <c r="D59" s="7" t="s">
        <v>48</v>
      </c>
      <c r="E59" s="7" t="s">
        <v>49</v>
      </c>
      <c r="F59" s="7" t="s">
        <v>1040</v>
      </c>
      <c r="G59" s="7" t="s">
        <v>1155</v>
      </c>
      <c r="H59" s="7" t="s">
        <v>1042</v>
      </c>
      <c r="I59" s="8" t="s">
        <v>4</v>
      </c>
      <c r="J59" s="8"/>
      <c r="K59" s="8"/>
      <c r="L59" s="9"/>
      <c r="M59" s="8"/>
      <c r="N59" s="7" t="s">
        <v>53</v>
      </c>
      <c r="O59" s="7" t="s">
        <v>1150</v>
      </c>
      <c r="P59" s="7" t="s">
        <v>55</v>
      </c>
      <c r="Q59" s="7" t="s">
        <v>56</v>
      </c>
      <c r="R59" s="7"/>
    </row>
    <row r="60" spans="1:18" ht="140.1" customHeight="1">
      <c r="A60" s="6" t="s">
        <v>1156</v>
      </c>
      <c r="B60" s="6" t="s">
        <v>1148</v>
      </c>
      <c r="C60" s="6" t="s">
        <v>1044</v>
      </c>
      <c r="D60" s="6" t="s">
        <v>48</v>
      </c>
      <c r="E60" s="6" t="s">
        <v>49</v>
      </c>
      <c r="F60" s="6" t="s">
        <v>1040</v>
      </c>
      <c r="G60" s="6" t="s">
        <v>1157</v>
      </c>
      <c r="H60" s="6" t="s">
        <v>1046</v>
      </c>
      <c r="I60" s="8" t="s">
        <v>4</v>
      </c>
      <c r="J60" s="8"/>
      <c r="K60" s="8"/>
      <c r="L60" s="9"/>
      <c r="M60" s="8"/>
      <c r="N60" s="6" t="s">
        <v>53</v>
      </c>
      <c r="O60" s="6" t="s">
        <v>1150</v>
      </c>
      <c r="P60" s="6" t="s">
        <v>55</v>
      </c>
      <c r="Q60" s="6" t="s">
        <v>56</v>
      </c>
      <c r="R60" s="6"/>
    </row>
    <row r="61" spans="1:18" ht="140.1" customHeight="1">
      <c r="A61" s="7" t="s">
        <v>1158</v>
      </c>
      <c r="B61" s="7" t="s">
        <v>1148</v>
      </c>
      <c r="C61" s="7" t="s">
        <v>1048</v>
      </c>
      <c r="D61" s="7" t="s">
        <v>84</v>
      </c>
      <c r="E61" s="7" t="s">
        <v>49</v>
      </c>
      <c r="F61" s="7" t="s">
        <v>1040</v>
      </c>
      <c r="G61" s="7" t="s">
        <v>1159</v>
      </c>
      <c r="H61" s="7" t="s">
        <v>1050</v>
      </c>
      <c r="I61" s="8" t="s">
        <v>4</v>
      </c>
      <c r="J61" s="8"/>
      <c r="K61" s="8"/>
      <c r="L61" s="9"/>
      <c r="M61" s="8"/>
      <c r="N61" s="7" t="s">
        <v>53</v>
      </c>
      <c r="O61" s="7" t="s">
        <v>1150</v>
      </c>
      <c r="P61" s="7" t="s">
        <v>55</v>
      </c>
      <c r="Q61" s="7" t="s">
        <v>56</v>
      </c>
      <c r="R61" s="7"/>
    </row>
    <row r="62" spans="1:18" ht="140.1" customHeight="1">
      <c r="A62" s="6" t="s">
        <v>1160</v>
      </c>
      <c r="B62" s="6" t="s">
        <v>1148</v>
      </c>
      <c r="C62" s="6" t="s">
        <v>1052</v>
      </c>
      <c r="D62" s="6" t="s">
        <v>84</v>
      </c>
      <c r="E62" s="6" t="s">
        <v>49</v>
      </c>
      <c r="F62" s="6" t="s">
        <v>1040</v>
      </c>
      <c r="G62" s="6" t="s">
        <v>1161</v>
      </c>
      <c r="H62" s="6" t="s">
        <v>1050</v>
      </c>
      <c r="I62" s="8" t="s">
        <v>4</v>
      </c>
      <c r="J62" s="8"/>
      <c r="K62" s="8"/>
      <c r="L62" s="9"/>
      <c r="M62" s="8"/>
      <c r="N62" s="6" t="s">
        <v>53</v>
      </c>
      <c r="O62" s="6" t="s">
        <v>1150</v>
      </c>
      <c r="P62" s="6" t="s">
        <v>55</v>
      </c>
      <c r="Q62" s="6" t="s">
        <v>56</v>
      </c>
      <c r="R62" s="6"/>
    </row>
    <row r="63" spans="1:18" ht="140.1" customHeight="1">
      <c r="A63" s="7" t="s">
        <v>1162</v>
      </c>
      <c r="B63" s="7" t="s">
        <v>1148</v>
      </c>
      <c r="C63" s="7" t="s">
        <v>1055</v>
      </c>
      <c r="D63" s="7" t="s">
        <v>84</v>
      </c>
      <c r="E63" s="7" t="s">
        <v>49</v>
      </c>
      <c r="F63" s="7" t="s">
        <v>1026</v>
      </c>
      <c r="G63" s="7" t="s">
        <v>1163</v>
      </c>
      <c r="H63" s="7" t="s">
        <v>1057</v>
      </c>
      <c r="I63" s="8" t="s">
        <v>4</v>
      </c>
      <c r="J63" s="8"/>
      <c r="K63" s="8"/>
      <c r="L63" s="9"/>
      <c r="M63" s="8"/>
      <c r="N63" s="7" t="s">
        <v>53</v>
      </c>
      <c r="O63" s="7" t="s">
        <v>1150</v>
      </c>
      <c r="P63" s="7" t="s">
        <v>55</v>
      </c>
      <c r="Q63" s="7" t="s">
        <v>56</v>
      </c>
      <c r="R63" s="7"/>
    </row>
    <row r="64" spans="1:18" ht="140.1" customHeight="1">
      <c r="A64" s="6" t="s">
        <v>1164</v>
      </c>
      <c r="B64" s="6" t="s">
        <v>1148</v>
      </c>
      <c r="C64" s="6" t="s">
        <v>510</v>
      </c>
      <c r="D64" s="6" t="s">
        <v>84</v>
      </c>
      <c r="E64" s="6" t="s">
        <v>49</v>
      </c>
      <c r="F64" s="6" t="s">
        <v>1026</v>
      </c>
      <c r="G64" s="6" t="s">
        <v>1165</v>
      </c>
      <c r="H64" s="6" t="s">
        <v>1060</v>
      </c>
      <c r="I64" s="8" t="s">
        <v>4</v>
      </c>
      <c r="J64" s="8"/>
      <c r="K64" s="8"/>
      <c r="L64" s="9"/>
      <c r="M64" s="8"/>
      <c r="N64" s="6" t="s">
        <v>53</v>
      </c>
      <c r="O64" s="6" t="s">
        <v>1150</v>
      </c>
      <c r="P64" s="6" t="s">
        <v>55</v>
      </c>
      <c r="Q64" s="6" t="s">
        <v>56</v>
      </c>
      <c r="R64" s="6"/>
    </row>
    <row r="65" spans="1:18" ht="140.1" customHeight="1">
      <c r="A65" s="7" t="s">
        <v>1166</v>
      </c>
      <c r="B65" s="7" t="s">
        <v>1148</v>
      </c>
      <c r="C65" s="7" t="s">
        <v>519</v>
      </c>
      <c r="D65" s="7" t="s">
        <v>84</v>
      </c>
      <c r="E65" s="7" t="s">
        <v>49</v>
      </c>
      <c r="F65" s="7" t="s">
        <v>1026</v>
      </c>
      <c r="G65" s="7" t="s">
        <v>1167</v>
      </c>
      <c r="H65" s="7" t="s">
        <v>1060</v>
      </c>
      <c r="I65" s="8" t="s">
        <v>4</v>
      </c>
      <c r="J65" s="8"/>
      <c r="K65" s="8"/>
      <c r="L65" s="9"/>
      <c r="M65" s="8"/>
      <c r="N65" s="7" t="s">
        <v>53</v>
      </c>
      <c r="O65" s="7" t="s">
        <v>1150</v>
      </c>
      <c r="P65" s="7" t="s">
        <v>55</v>
      </c>
      <c r="Q65" s="7" t="s">
        <v>56</v>
      </c>
      <c r="R65" s="7"/>
    </row>
    <row r="66" spans="1:18" ht="140.1" customHeight="1">
      <c r="A66" s="6" t="s">
        <v>1168</v>
      </c>
      <c r="B66" s="6" t="s">
        <v>1169</v>
      </c>
      <c r="C66" s="6" t="s">
        <v>1170</v>
      </c>
      <c r="D66" s="6" t="s">
        <v>48</v>
      </c>
      <c r="E66" s="6" t="s">
        <v>49</v>
      </c>
      <c r="F66" s="6" t="s">
        <v>1171</v>
      </c>
      <c r="G66" s="6" t="s">
        <v>1172</v>
      </c>
      <c r="H66" s="6" t="s">
        <v>1173</v>
      </c>
      <c r="I66" s="8" t="s">
        <v>4</v>
      </c>
      <c r="J66" s="8"/>
      <c r="K66" s="8"/>
      <c r="L66" s="9"/>
      <c r="M66" s="8"/>
      <c r="N66" s="6" t="s">
        <v>53</v>
      </c>
      <c r="O66" s="6" t="s">
        <v>1174</v>
      </c>
      <c r="P66" s="6" t="s">
        <v>55</v>
      </c>
      <c r="Q66" s="6" t="s">
        <v>56</v>
      </c>
      <c r="R66" s="6"/>
    </row>
    <row r="67" spans="1:18" ht="140.1" customHeight="1">
      <c r="A67" s="7" t="s">
        <v>1175</v>
      </c>
      <c r="B67" s="7" t="s">
        <v>1169</v>
      </c>
      <c r="C67" s="7" t="s">
        <v>1176</v>
      </c>
      <c r="D67" s="7" t="s">
        <v>48</v>
      </c>
      <c r="E67" s="7" t="s">
        <v>49</v>
      </c>
      <c r="F67" s="7" t="s">
        <v>1177</v>
      </c>
      <c r="G67" s="7" t="s">
        <v>1172</v>
      </c>
      <c r="H67" s="7" t="s">
        <v>1173</v>
      </c>
      <c r="I67" s="8" t="s">
        <v>4</v>
      </c>
      <c r="J67" s="8"/>
      <c r="K67" s="8"/>
      <c r="L67" s="9"/>
      <c r="M67" s="8"/>
      <c r="N67" s="7" t="s">
        <v>53</v>
      </c>
      <c r="O67" s="7" t="s">
        <v>1174</v>
      </c>
      <c r="P67" s="7" t="s">
        <v>55</v>
      </c>
      <c r="Q67" s="7" t="s">
        <v>56</v>
      </c>
      <c r="R67" s="7"/>
    </row>
    <row r="68" spans="1:18" ht="140.1" customHeight="1">
      <c r="A68" s="6" t="s">
        <v>1178</v>
      </c>
      <c r="B68" s="6" t="s">
        <v>1169</v>
      </c>
      <c r="C68" s="6" t="s">
        <v>1179</v>
      </c>
      <c r="D68" s="6" t="s">
        <v>48</v>
      </c>
      <c r="E68" s="6" t="s">
        <v>49</v>
      </c>
      <c r="F68" s="6" t="s">
        <v>1180</v>
      </c>
      <c r="G68" s="6" t="s">
        <v>1172</v>
      </c>
      <c r="H68" s="6" t="s">
        <v>1173</v>
      </c>
      <c r="I68" s="8" t="s">
        <v>4</v>
      </c>
      <c r="J68" s="8"/>
      <c r="K68" s="8"/>
      <c r="L68" s="9"/>
      <c r="M68" s="8"/>
      <c r="N68" s="6" t="s">
        <v>53</v>
      </c>
      <c r="O68" s="6" t="s">
        <v>1174</v>
      </c>
      <c r="P68" s="6" t="s">
        <v>55</v>
      </c>
      <c r="Q68" s="6" t="s">
        <v>56</v>
      </c>
      <c r="R68" s="6"/>
    </row>
    <row r="69" spans="1:18" ht="140.1" customHeight="1">
      <c r="A69" s="7" t="s">
        <v>1181</v>
      </c>
      <c r="B69" s="7" t="s">
        <v>1169</v>
      </c>
      <c r="C69" s="7" t="s">
        <v>1182</v>
      </c>
      <c r="D69" s="7" t="s">
        <v>48</v>
      </c>
      <c r="E69" s="7" t="s">
        <v>49</v>
      </c>
      <c r="F69" s="7" t="s">
        <v>1183</v>
      </c>
      <c r="G69" s="7" t="s">
        <v>1172</v>
      </c>
      <c r="H69" s="7" t="s">
        <v>1173</v>
      </c>
      <c r="I69" s="8" t="s">
        <v>4</v>
      </c>
      <c r="J69" s="8"/>
      <c r="K69" s="8"/>
      <c r="L69" s="9"/>
      <c r="M69" s="8"/>
      <c r="N69" s="7" t="s">
        <v>53</v>
      </c>
      <c r="O69" s="7" t="s">
        <v>1174</v>
      </c>
      <c r="P69" s="7" t="s">
        <v>55</v>
      </c>
      <c r="Q69" s="7" t="s">
        <v>56</v>
      </c>
      <c r="R69" s="7"/>
    </row>
    <row r="70" spans="1:18" ht="140.1" customHeight="1">
      <c r="A70" s="6" t="s">
        <v>1184</v>
      </c>
      <c r="B70" s="6" t="s">
        <v>1169</v>
      </c>
      <c r="C70" s="6" t="s">
        <v>1185</v>
      </c>
      <c r="D70" s="6" t="s">
        <v>48</v>
      </c>
      <c r="E70" s="6" t="s">
        <v>49</v>
      </c>
      <c r="F70" s="6" t="s">
        <v>1186</v>
      </c>
      <c r="G70" s="6" t="s">
        <v>1172</v>
      </c>
      <c r="H70" s="6" t="s">
        <v>1173</v>
      </c>
      <c r="I70" s="8" t="s">
        <v>4</v>
      </c>
      <c r="J70" s="8"/>
      <c r="K70" s="8"/>
      <c r="L70" s="9"/>
      <c r="M70" s="8"/>
      <c r="N70" s="6" t="s">
        <v>53</v>
      </c>
      <c r="O70" s="6" t="s">
        <v>1174</v>
      </c>
      <c r="P70" s="6" t="s">
        <v>55</v>
      </c>
      <c r="Q70" s="6" t="s">
        <v>56</v>
      </c>
      <c r="R70" s="6"/>
    </row>
    <row r="71" spans="1:18" ht="140.1" customHeight="1">
      <c r="A71" s="7" t="s">
        <v>1187</v>
      </c>
      <c r="B71" s="7" t="s">
        <v>1169</v>
      </c>
      <c r="C71" s="7" t="s">
        <v>1188</v>
      </c>
      <c r="D71" s="7" t="s">
        <v>48</v>
      </c>
      <c r="E71" s="7" t="s">
        <v>49</v>
      </c>
      <c r="F71" s="7" t="s">
        <v>1189</v>
      </c>
      <c r="G71" s="7" t="s">
        <v>1172</v>
      </c>
      <c r="H71" s="7" t="s">
        <v>1173</v>
      </c>
      <c r="I71" s="8" t="s">
        <v>4</v>
      </c>
      <c r="J71" s="8"/>
      <c r="K71" s="8"/>
      <c r="L71" s="9"/>
      <c r="M71" s="8"/>
      <c r="N71" s="7" t="s">
        <v>53</v>
      </c>
      <c r="O71" s="7" t="s">
        <v>1174</v>
      </c>
      <c r="P71" s="7" t="s">
        <v>55</v>
      </c>
      <c r="Q71" s="7" t="s">
        <v>56</v>
      </c>
      <c r="R71" s="7"/>
    </row>
    <row r="72" spans="1:18" ht="140.1" customHeight="1">
      <c r="A72" s="6" t="s">
        <v>1190</v>
      </c>
      <c r="B72" s="6" t="s">
        <v>1169</v>
      </c>
      <c r="C72" s="6" t="s">
        <v>1191</v>
      </c>
      <c r="D72" s="6" t="s">
        <v>48</v>
      </c>
      <c r="E72" s="6" t="s">
        <v>49</v>
      </c>
      <c r="F72" s="6" t="s">
        <v>1192</v>
      </c>
      <c r="G72" s="6" t="s">
        <v>1172</v>
      </c>
      <c r="H72" s="6" t="s">
        <v>1173</v>
      </c>
      <c r="I72" s="8" t="s">
        <v>4</v>
      </c>
      <c r="J72" s="8"/>
      <c r="K72" s="8"/>
      <c r="L72" s="9"/>
      <c r="M72" s="8"/>
      <c r="N72" s="6" t="s">
        <v>53</v>
      </c>
      <c r="O72" s="6" t="s">
        <v>1174</v>
      </c>
      <c r="P72" s="6" t="s">
        <v>55</v>
      </c>
      <c r="Q72" s="6" t="s">
        <v>56</v>
      </c>
      <c r="R72" s="6"/>
    </row>
    <row r="73" spans="1:18" ht="140.1" customHeight="1">
      <c r="A73" s="7" t="s">
        <v>1193</v>
      </c>
      <c r="B73" s="7" t="s">
        <v>1169</v>
      </c>
      <c r="C73" s="7" t="s">
        <v>1194</v>
      </c>
      <c r="D73" s="7" t="s">
        <v>48</v>
      </c>
      <c r="E73" s="7" t="s">
        <v>49</v>
      </c>
      <c r="F73" s="7" t="s">
        <v>1195</v>
      </c>
      <c r="G73" s="7" t="s">
        <v>1172</v>
      </c>
      <c r="H73" s="7" t="s">
        <v>1173</v>
      </c>
      <c r="I73" s="8" t="s">
        <v>4</v>
      </c>
      <c r="J73" s="8"/>
      <c r="K73" s="8"/>
      <c r="L73" s="9"/>
      <c r="M73" s="8"/>
      <c r="N73" s="7" t="s">
        <v>53</v>
      </c>
      <c r="O73" s="7" t="s">
        <v>1174</v>
      </c>
      <c r="P73" s="7" t="s">
        <v>55</v>
      </c>
      <c r="Q73" s="7" t="s">
        <v>56</v>
      </c>
      <c r="R73" s="7"/>
    </row>
    <row r="74" spans="1:18" ht="140.1" customHeight="1">
      <c r="A74" s="6" t="s">
        <v>1196</v>
      </c>
      <c r="B74" s="6" t="s">
        <v>1169</v>
      </c>
      <c r="C74" s="6" t="s">
        <v>1197</v>
      </c>
      <c r="D74" s="6" t="s">
        <v>48</v>
      </c>
      <c r="E74" s="6" t="s">
        <v>49</v>
      </c>
      <c r="F74" s="6" t="s">
        <v>1198</v>
      </c>
      <c r="G74" s="6" t="s">
        <v>1172</v>
      </c>
      <c r="H74" s="6" t="s">
        <v>1173</v>
      </c>
      <c r="I74" s="8" t="s">
        <v>4</v>
      </c>
      <c r="J74" s="8"/>
      <c r="K74" s="8"/>
      <c r="L74" s="9"/>
      <c r="M74" s="8"/>
      <c r="N74" s="6" t="s">
        <v>53</v>
      </c>
      <c r="O74" s="6" t="s">
        <v>1174</v>
      </c>
      <c r="P74" s="6" t="s">
        <v>55</v>
      </c>
      <c r="Q74" s="6" t="s">
        <v>56</v>
      </c>
      <c r="R74" s="6"/>
    </row>
    <row r="75" spans="1:18" ht="140.1" customHeight="1">
      <c r="A75" s="7" t="s">
        <v>1199</v>
      </c>
      <c r="B75" s="7" t="s">
        <v>1169</v>
      </c>
      <c r="C75" s="7" t="s">
        <v>1200</v>
      </c>
      <c r="D75" s="7" t="s">
        <v>48</v>
      </c>
      <c r="E75" s="7" t="s">
        <v>49</v>
      </c>
      <c r="F75" s="7" t="s">
        <v>1201</v>
      </c>
      <c r="G75" s="7" t="s">
        <v>1172</v>
      </c>
      <c r="H75" s="7" t="s">
        <v>1173</v>
      </c>
      <c r="I75" s="8" t="s">
        <v>4</v>
      </c>
      <c r="J75" s="8"/>
      <c r="K75" s="8"/>
      <c r="L75" s="9"/>
      <c r="M75" s="8"/>
      <c r="N75" s="7" t="s">
        <v>53</v>
      </c>
      <c r="O75" s="7" t="s">
        <v>1174</v>
      </c>
      <c r="P75" s="7" t="s">
        <v>55</v>
      </c>
      <c r="Q75" s="7" t="s">
        <v>56</v>
      </c>
      <c r="R75" s="7"/>
    </row>
    <row r="76" spans="1:18" ht="140.1" customHeight="1">
      <c r="A76" s="6" t="s">
        <v>1202</v>
      </c>
      <c r="B76" s="6" t="s">
        <v>1169</v>
      </c>
      <c r="C76" s="6" t="s">
        <v>1203</v>
      </c>
      <c r="D76" s="6" t="s">
        <v>48</v>
      </c>
      <c r="E76" s="6" t="s">
        <v>49</v>
      </c>
      <c r="F76" s="6" t="s">
        <v>1204</v>
      </c>
      <c r="G76" s="6" t="s">
        <v>1172</v>
      </c>
      <c r="H76" s="6" t="s">
        <v>1173</v>
      </c>
      <c r="I76" s="8" t="s">
        <v>4</v>
      </c>
      <c r="J76" s="8"/>
      <c r="K76" s="8"/>
      <c r="L76" s="9"/>
      <c r="M76" s="8"/>
      <c r="N76" s="6" t="s">
        <v>53</v>
      </c>
      <c r="O76" s="6" t="s">
        <v>1174</v>
      </c>
      <c r="P76" s="6" t="s">
        <v>55</v>
      </c>
      <c r="Q76" s="6" t="s">
        <v>56</v>
      </c>
      <c r="R76" s="6"/>
    </row>
    <row r="77" spans="1:18" ht="140.1" customHeight="1">
      <c r="A77" s="7" t="s">
        <v>1205</v>
      </c>
      <c r="B77" s="7" t="s">
        <v>1169</v>
      </c>
      <c r="C77" s="7" t="s">
        <v>1206</v>
      </c>
      <c r="D77" s="7" t="s">
        <v>48</v>
      </c>
      <c r="E77" s="7" t="s">
        <v>49</v>
      </c>
      <c r="F77" s="7" t="s">
        <v>1207</v>
      </c>
      <c r="G77" s="7" t="s">
        <v>1172</v>
      </c>
      <c r="H77" s="7" t="s">
        <v>1173</v>
      </c>
      <c r="I77" s="8" t="s">
        <v>4</v>
      </c>
      <c r="J77" s="8"/>
      <c r="K77" s="8"/>
      <c r="L77" s="9"/>
      <c r="M77" s="8"/>
      <c r="N77" s="7" t="s">
        <v>53</v>
      </c>
      <c r="O77" s="7" t="s">
        <v>1174</v>
      </c>
      <c r="P77" s="7" t="s">
        <v>55</v>
      </c>
      <c r="Q77" s="7" t="s">
        <v>56</v>
      </c>
      <c r="R77" s="7"/>
    </row>
    <row r="78" spans="1:18" ht="140.1" customHeight="1">
      <c r="A78" s="6" t="s">
        <v>1208</v>
      </c>
      <c r="B78" s="6" t="s">
        <v>1169</v>
      </c>
      <c r="C78" s="6" t="s">
        <v>1209</v>
      </c>
      <c r="D78" s="6" t="s">
        <v>48</v>
      </c>
      <c r="E78" s="6" t="s">
        <v>49</v>
      </c>
      <c r="F78" s="6" t="s">
        <v>1210</v>
      </c>
      <c r="G78" s="6" t="s">
        <v>1172</v>
      </c>
      <c r="H78" s="6" t="s">
        <v>1173</v>
      </c>
      <c r="I78" s="8" t="s">
        <v>4</v>
      </c>
      <c r="J78" s="8"/>
      <c r="K78" s="8"/>
      <c r="L78" s="9"/>
      <c r="M78" s="8"/>
      <c r="N78" s="6" t="s">
        <v>53</v>
      </c>
      <c r="O78" s="6" t="s">
        <v>1174</v>
      </c>
      <c r="P78" s="6" t="s">
        <v>55</v>
      </c>
      <c r="Q78" s="6" t="s">
        <v>56</v>
      </c>
      <c r="R78" s="6"/>
    </row>
    <row r="79" spans="1:18" ht="140.1" customHeight="1">
      <c r="A79" s="7" t="s">
        <v>1211</v>
      </c>
      <c r="B79" s="7" t="s">
        <v>1169</v>
      </c>
      <c r="C79" s="7" t="s">
        <v>1212</v>
      </c>
      <c r="D79" s="7" t="s">
        <v>48</v>
      </c>
      <c r="E79" s="7" t="s">
        <v>49</v>
      </c>
      <c r="F79" s="7" t="s">
        <v>1213</v>
      </c>
      <c r="G79" s="7" t="s">
        <v>1172</v>
      </c>
      <c r="H79" s="7" t="s">
        <v>1173</v>
      </c>
      <c r="I79" s="8" t="s">
        <v>4</v>
      </c>
      <c r="J79" s="8"/>
      <c r="K79" s="8"/>
      <c r="L79" s="9"/>
      <c r="M79" s="8"/>
      <c r="N79" s="7" t="s">
        <v>53</v>
      </c>
      <c r="O79" s="7" t="s">
        <v>1174</v>
      </c>
      <c r="P79" s="7" t="s">
        <v>55</v>
      </c>
      <c r="Q79" s="7" t="s">
        <v>56</v>
      </c>
      <c r="R79" s="7"/>
    </row>
    <row r="80" spans="1:18" ht="140.1" customHeight="1">
      <c r="A80" s="6" t="s">
        <v>1214</v>
      </c>
      <c r="B80" s="6" t="s">
        <v>1169</v>
      </c>
      <c r="C80" s="6" t="s">
        <v>1215</v>
      </c>
      <c r="D80" s="6" t="s">
        <v>48</v>
      </c>
      <c r="E80" s="6" t="s">
        <v>49</v>
      </c>
      <c r="F80" s="6" t="s">
        <v>1216</v>
      </c>
      <c r="G80" s="6" t="s">
        <v>1172</v>
      </c>
      <c r="H80" s="6" t="s">
        <v>1173</v>
      </c>
      <c r="I80" s="8" t="s">
        <v>4</v>
      </c>
      <c r="J80" s="8"/>
      <c r="K80" s="8"/>
      <c r="L80" s="9"/>
      <c r="M80" s="8"/>
      <c r="N80" s="6" t="s">
        <v>53</v>
      </c>
      <c r="O80" s="6" t="s">
        <v>1174</v>
      </c>
      <c r="P80" s="6" t="s">
        <v>55</v>
      </c>
      <c r="Q80" s="6" t="s">
        <v>56</v>
      </c>
      <c r="R80" s="6"/>
    </row>
    <row r="81" spans="1:18" ht="140.1" customHeight="1">
      <c r="A81" s="7" t="s">
        <v>1217</v>
      </c>
      <c r="B81" s="7" t="s">
        <v>1169</v>
      </c>
      <c r="C81" s="7" t="s">
        <v>1218</v>
      </c>
      <c r="D81" s="7" t="s">
        <v>48</v>
      </c>
      <c r="E81" s="7" t="s">
        <v>49</v>
      </c>
      <c r="F81" s="7" t="s">
        <v>1219</v>
      </c>
      <c r="G81" s="7" t="s">
        <v>1172</v>
      </c>
      <c r="H81" s="7" t="s">
        <v>1173</v>
      </c>
      <c r="I81" s="8" t="s">
        <v>4</v>
      </c>
      <c r="J81" s="8"/>
      <c r="K81" s="8"/>
      <c r="L81" s="9"/>
      <c r="M81" s="8"/>
      <c r="N81" s="7" t="s">
        <v>53</v>
      </c>
      <c r="O81" s="7" t="s">
        <v>1174</v>
      </c>
      <c r="P81" s="7" t="s">
        <v>55</v>
      </c>
      <c r="Q81" s="7" t="s">
        <v>56</v>
      </c>
      <c r="R81" s="7"/>
    </row>
    <row r="82" spans="1:18" ht="140.1" customHeight="1">
      <c r="A82" s="6" t="s">
        <v>1220</v>
      </c>
      <c r="B82" s="6" t="s">
        <v>1169</v>
      </c>
      <c r="C82" s="6" t="s">
        <v>1221</v>
      </c>
      <c r="D82" s="6" t="s">
        <v>48</v>
      </c>
      <c r="E82" s="6" t="s">
        <v>49</v>
      </c>
      <c r="F82" s="6" t="s">
        <v>1222</v>
      </c>
      <c r="G82" s="6" t="s">
        <v>1223</v>
      </c>
      <c r="H82" s="6" t="s">
        <v>1224</v>
      </c>
      <c r="I82" s="8" t="s">
        <v>4</v>
      </c>
      <c r="J82" s="8"/>
      <c r="K82" s="8"/>
      <c r="L82" s="9"/>
      <c r="M82" s="8"/>
      <c r="N82" s="6" t="s">
        <v>53</v>
      </c>
      <c r="O82" s="6" t="s">
        <v>1174</v>
      </c>
      <c r="P82" s="6" t="s">
        <v>55</v>
      </c>
      <c r="Q82" s="6" t="s">
        <v>56</v>
      </c>
      <c r="R82" s="6"/>
    </row>
  </sheetData>
  <conditionalFormatting sqref="I6:I82">
    <cfRule type="cellIs" dxfId="5" priority="1" operator="equal">
      <formula>"فشلت"</formula>
    </cfRule>
    <cfRule type="cellIs" dxfId="4" priority="2" operator="equal">
      <formula>"محجوبة"</formula>
    </cfRule>
  </conditionalFormatting>
  <dataValidations count="1">
    <dataValidation type="list" sqref="I6:I82" xr:uid="{00000000-0002-0000-0800-000000000000}">
      <formula1>"لم تنفذ,نجحت,فشلت,محجوبة,غير منطبقة"</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14"/>
  <sheetViews>
    <sheetView showGridLines="0" rightToLeft="1" zoomScale="85" workbookViewId="0">
      <pane xSplit="2" ySplit="5" topLeftCell="C6" activePane="bottomRight" state="frozen"/>
      <selection pane="topRight"/>
      <selection pane="bottomLeft"/>
      <selection pane="bottomRight" activeCell="A3" sqref="A3"/>
    </sheetView>
  </sheetViews>
  <sheetFormatPr defaultRowHeight="14.25"/>
  <cols>
    <col min="1" max="1" width="14" customWidth="1"/>
    <col min="2" max="2" width="25" customWidth="1"/>
    <col min="3" max="3" width="40" customWidth="1"/>
    <col min="4" max="4" width="13" customWidth="1"/>
    <col min="5" max="5" width="48" customWidth="1"/>
    <col min="6" max="6" width="50" customWidth="1"/>
    <col min="7" max="8" width="72" customWidth="1"/>
    <col min="9" max="9" width="17" customWidth="1"/>
    <col min="10" max="10" width="45" customWidth="1"/>
    <col min="11" max="11" width="20" customWidth="1"/>
    <col min="12" max="13" width="18" customWidth="1"/>
    <col min="14" max="14" width="52" customWidth="1"/>
    <col min="15" max="15" width="66" customWidth="1"/>
    <col min="16" max="16" width="26" customWidth="1"/>
    <col min="17" max="17" width="23" customWidth="1"/>
    <col min="18" max="18" width="56" customWidth="1"/>
  </cols>
  <sheetData>
    <row r="1" spans="1:18">
      <c r="A1" s="1"/>
      <c r="B1" s="1"/>
      <c r="C1" s="1"/>
      <c r="D1" s="1"/>
      <c r="E1" s="1"/>
      <c r="F1" s="1"/>
      <c r="G1" s="1"/>
      <c r="H1" s="1"/>
      <c r="I1" s="1"/>
      <c r="J1" s="1"/>
      <c r="K1" s="1"/>
      <c r="L1" s="1"/>
      <c r="M1" s="1"/>
      <c r="N1" s="1"/>
      <c r="O1" s="1"/>
      <c r="P1" s="1"/>
      <c r="Q1" s="1"/>
      <c r="R1" s="1"/>
    </row>
    <row r="2" spans="1:18" ht="30" customHeight="1">
      <c r="A2" s="2" t="s">
        <v>1225</v>
      </c>
      <c r="B2" s="1"/>
      <c r="C2" s="1"/>
      <c r="D2" s="1"/>
      <c r="E2" s="1"/>
      <c r="F2" s="1"/>
      <c r="G2" s="1"/>
      <c r="H2" s="1"/>
      <c r="I2" s="1"/>
      <c r="J2" s="1"/>
      <c r="K2" s="1"/>
      <c r="L2" s="1"/>
      <c r="M2" s="1"/>
      <c r="N2" s="1"/>
      <c r="O2" s="1"/>
      <c r="P2" s="1"/>
      <c r="Q2" s="1"/>
      <c r="R2" s="1"/>
    </row>
    <row r="3" spans="1:18">
      <c r="A3" s="3" t="s">
        <v>26</v>
      </c>
      <c r="B3" s="1"/>
      <c r="C3" s="1"/>
      <c r="D3" s="1"/>
      <c r="E3" s="1"/>
      <c r="F3" s="1"/>
      <c r="G3" s="1"/>
      <c r="H3" s="1"/>
      <c r="I3" s="1"/>
      <c r="J3" s="1"/>
      <c r="K3" s="1"/>
      <c r="L3" s="1"/>
      <c r="M3" s="1"/>
      <c r="N3" s="1"/>
      <c r="O3" s="1"/>
      <c r="P3" s="1"/>
      <c r="Q3" s="1"/>
      <c r="R3" s="1"/>
    </row>
    <row r="4" spans="1:18">
      <c r="A4" s="1"/>
      <c r="B4" s="1"/>
      <c r="C4" s="1"/>
      <c r="D4" s="1"/>
      <c r="E4" s="1"/>
      <c r="F4" s="1"/>
      <c r="G4" s="1"/>
      <c r="H4" s="1"/>
      <c r="I4" s="1"/>
      <c r="J4" s="1"/>
      <c r="K4" s="1"/>
      <c r="L4" s="1"/>
      <c r="M4" s="1"/>
      <c r="N4" s="1"/>
      <c r="O4" s="1"/>
      <c r="P4" s="1"/>
      <c r="Q4" s="1"/>
      <c r="R4" s="1"/>
    </row>
    <row r="5" spans="1:18" ht="36" customHeight="1">
      <c r="A5" s="5" t="s">
        <v>27</v>
      </c>
      <c r="B5" s="5" t="s">
        <v>28</v>
      </c>
      <c r="C5" s="5" t="s">
        <v>29</v>
      </c>
      <c r="D5" s="5" t="s">
        <v>30</v>
      </c>
      <c r="E5" s="5" t="s">
        <v>31</v>
      </c>
      <c r="F5" s="5" t="s">
        <v>32</v>
      </c>
      <c r="G5" s="5" t="s">
        <v>33</v>
      </c>
      <c r="H5" s="5" t="s">
        <v>34</v>
      </c>
      <c r="I5" s="5" t="s">
        <v>35</v>
      </c>
      <c r="J5" s="5" t="s">
        <v>36</v>
      </c>
      <c r="K5" s="5" t="s">
        <v>37</v>
      </c>
      <c r="L5" s="5" t="s">
        <v>38</v>
      </c>
      <c r="M5" s="5" t="s">
        <v>39</v>
      </c>
      <c r="N5" s="5" t="s">
        <v>40</v>
      </c>
      <c r="O5" s="5" t="s">
        <v>41</v>
      </c>
      <c r="P5" s="5" t="s">
        <v>42</v>
      </c>
      <c r="Q5" s="5" t="s">
        <v>43</v>
      </c>
      <c r="R5" s="5" t="s">
        <v>44</v>
      </c>
    </row>
    <row r="6" spans="1:18" ht="140.1" customHeight="1">
      <c r="A6" s="6" t="s">
        <v>1226</v>
      </c>
      <c r="B6" s="6" t="s">
        <v>19</v>
      </c>
      <c r="C6" s="6" t="s">
        <v>1227</v>
      </c>
      <c r="D6" s="6" t="s">
        <v>48</v>
      </c>
      <c r="E6" s="6" t="s">
        <v>49</v>
      </c>
      <c r="F6" s="6" t="s">
        <v>1228</v>
      </c>
      <c r="G6" s="6" t="s">
        <v>1229</v>
      </c>
      <c r="H6" s="6" t="s">
        <v>1230</v>
      </c>
      <c r="I6" s="8" t="s">
        <v>4</v>
      </c>
      <c r="J6" s="8"/>
      <c r="K6" s="8"/>
      <c r="L6" s="9"/>
      <c r="M6" s="8"/>
      <c r="N6" s="6" t="s">
        <v>53</v>
      </c>
      <c r="O6" s="6" t="s">
        <v>1231</v>
      </c>
      <c r="P6" s="6" t="s">
        <v>55</v>
      </c>
      <c r="Q6" s="6" t="s">
        <v>56</v>
      </c>
      <c r="R6" s="6" t="s">
        <v>1232</v>
      </c>
    </row>
    <row r="7" spans="1:18" ht="140.1" customHeight="1">
      <c r="A7" s="7" t="s">
        <v>1233</v>
      </c>
      <c r="B7" s="7" t="s">
        <v>19</v>
      </c>
      <c r="C7" s="7" t="s">
        <v>1234</v>
      </c>
      <c r="D7" s="7" t="s">
        <v>48</v>
      </c>
      <c r="E7" s="7" t="s">
        <v>49</v>
      </c>
      <c r="F7" s="7" t="s">
        <v>1235</v>
      </c>
      <c r="G7" s="7" t="s">
        <v>1229</v>
      </c>
      <c r="H7" s="7" t="s">
        <v>1236</v>
      </c>
      <c r="I7" s="8" t="s">
        <v>4</v>
      </c>
      <c r="J7" s="8"/>
      <c r="K7" s="8"/>
      <c r="L7" s="9"/>
      <c r="M7" s="8"/>
      <c r="N7" s="7" t="s">
        <v>53</v>
      </c>
      <c r="O7" s="7" t="s">
        <v>1231</v>
      </c>
      <c r="P7" s="7" t="s">
        <v>55</v>
      </c>
      <c r="Q7" s="7" t="s">
        <v>56</v>
      </c>
      <c r="R7" s="7" t="s">
        <v>1232</v>
      </c>
    </row>
    <row r="8" spans="1:18" ht="140.1" customHeight="1">
      <c r="A8" s="6" t="s">
        <v>1237</v>
      </c>
      <c r="B8" s="6" t="s">
        <v>19</v>
      </c>
      <c r="C8" s="6" t="s">
        <v>1238</v>
      </c>
      <c r="D8" s="6" t="s">
        <v>48</v>
      </c>
      <c r="E8" s="6" t="s">
        <v>49</v>
      </c>
      <c r="F8" s="6" t="s">
        <v>1239</v>
      </c>
      <c r="G8" s="6" t="s">
        <v>1229</v>
      </c>
      <c r="H8" s="6" t="s">
        <v>1240</v>
      </c>
      <c r="I8" s="8" t="s">
        <v>4</v>
      </c>
      <c r="J8" s="8"/>
      <c r="K8" s="8"/>
      <c r="L8" s="9"/>
      <c r="M8" s="8"/>
      <c r="N8" s="6" t="s">
        <v>53</v>
      </c>
      <c r="O8" s="6" t="s">
        <v>1231</v>
      </c>
      <c r="P8" s="6" t="s">
        <v>55</v>
      </c>
      <c r="Q8" s="6" t="s">
        <v>56</v>
      </c>
      <c r="R8" s="6" t="s">
        <v>1232</v>
      </c>
    </row>
    <row r="9" spans="1:18" ht="140.1" customHeight="1">
      <c r="A9" s="7" t="s">
        <v>1241</v>
      </c>
      <c r="B9" s="7" t="s">
        <v>19</v>
      </c>
      <c r="C9" s="7" t="s">
        <v>1242</v>
      </c>
      <c r="D9" s="7" t="s">
        <v>48</v>
      </c>
      <c r="E9" s="7" t="s">
        <v>49</v>
      </c>
      <c r="F9" s="7" t="s">
        <v>1243</v>
      </c>
      <c r="G9" s="7" t="s">
        <v>1229</v>
      </c>
      <c r="H9" s="7" t="s">
        <v>1244</v>
      </c>
      <c r="I9" s="8" t="s">
        <v>4</v>
      </c>
      <c r="J9" s="8"/>
      <c r="K9" s="8"/>
      <c r="L9" s="9"/>
      <c r="M9" s="8"/>
      <c r="N9" s="7" t="s">
        <v>53</v>
      </c>
      <c r="O9" s="7" t="s">
        <v>1231</v>
      </c>
      <c r="P9" s="7" t="s">
        <v>55</v>
      </c>
      <c r="Q9" s="7" t="s">
        <v>56</v>
      </c>
      <c r="R9" s="7" t="s">
        <v>1232</v>
      </c>
    </row>
    <row r="10" spans="1:18" ht="140.1" customHeight="1">
      <c r="A10" s="6" t="s">
        <v>1245</v>
      </c>
      <c r="B10" s="6" t="s">
        <v>19</v>
      </c>
      <c r="C10" s="6" t="s">
        <v>1246</v>
      </c>
      <c r="D10" s="6" t="s">
        <v>48</v>
      </c>
      <c r="E10" s="6" t="s">
        <v>49</v>
      </c>
      <c r="F10" s="6" t="s">
        <v>1247</v>
      </c>
      <c r="G10" s="6" t="s">
        <v>1248</v>
      </c>
      <c r="H10" s="6" t="s">
        <v>1249</v>
      </c>
      <c r="I10" s="8" t="s">
        <v>4</v>
      </c>
      <c r="J10" s="8"/>
      <c r="K10" s="8"/>
      <c r="L10" s="9"/>
      <c r="M10" s="8"/>
      <c r="N10" s="6" t="s">
        <v>53</v>
      </c>
      <c r="O10" s="6" t="s">
        <v>1231</v>
      </c>
      <c r="P10" s="6" t="s">
        <v>55</v>
      </c>
      <c r="Q10" s="6" t="s">
        <v>56</v>
      </c>
      <c r="R10" s="6"/>
    </row>
    <row r="11" spans="1:18" ht="140.1" customHeight="1">
      <c r="A11" s="7" t="s">
        <v>1250</v>
      </c>
      <c r="B11" s="7" t="s">
        <v>19</v>
      </c>
      <c r="C11" s="7" t="s">
        <v>1251</v>
      </c>
      <c r="D11" s="7" t="s">
        <v>48</v>
      </c>
      <c r="E11" s="7" t="s">
        <v>49</v>
      </c>
      <c r="F11" s="7" t="s">
        <v>1252</v>
      </c>
      <c r="G11" s="7" t="s">
        <v>1253</v>
      </c>
      <c r="H11" s="7" t="s">
        <v>1254</v>
      </c>
      <c r="I11" s="8" t="s">
        <v>4</v>
      </c>
      <c r="J11" s="8"/>
      <c r="K11" s="8"/>
      <c r="L11" s="9"/>
      <c r="M11" s="8"/>
      <c r="N11" s="7" t="s">
        <v>53</v>
      </c>
      <c r="O11" s="7" t="s">
        <v>1231</v>
      </c>
      <c r="P11" s="7" t="s">
        <v>55</v>
      </c>
      <c r="Q11" s="7" t="s">
        <v>56</v>
      </c>
      <c r="R11" s="7"/>
    </row>
    <row r="12" spans="1:18" ht="140.1" customHeight="1">
      <c r="A12" s="6" t="s">
        <v>1255</v>
      </c>
      <c r="B12" s="6" t="s">
        <v>19</v>
      </c>
      <c r="C12" s="6" t="s">
        <v>1256</v>
      </c>
      <c r="D12" s="6" t="s">
        <v>48</v>
      </c>
      <c r="E12" s="6" t="s">
        <v>49</v>
      </c>
      <c r="F12" s="6" t="s">
        <v>1257</v>
      </c>
      <c r="G12" s="6" t="s">
        <v>1258</v>
      </c>
      <c r="H12" s="6" t="s">
        <v>1259</v>
      </c>
      <c r="I12" s="8" t="s">
        <v>4</v>
      </c>
      <c r="J12" s="8"/>
      <c r="K12" s="8"/>
      <c r="L12" s="9"/>
      <c r="M12" s="8"/>
      <c r="N12" s="6" t="s">
        <v>53</v>
      </c>
      <c r="O12" s="6" t="s">
        <v>1231</v>
      </c>
      <c r="P12" s="6" t="s">
        <v>55</v>
      </c>
      <c r="Q12" s="6" t="s">
        <v>56</v>
      </c>
      <c r="R12" s="6"/>
    </row>
    <row r="13" spans="1:18" ht="140.1" customHeight="1">
      <c r="A13" s="7" t="s">
        <v>1260</v>
      </c>
      <c r="B13" s="7" t="s">
        <v>19</v>
      </c>
      <c r="C13" s="7" t="s">
        <v>1261</v>
      </c>
      <c r="D13" s="7" t="s">
        <v>48</v>
      </c>
      <c r="E13" s="7" t="s">
        <v>49</v>
      </c>
      <c r="F13" s="7" t="s">
        <v>1262</v>
      </c>
      <c r="G13" s="7" t="s">
        <v>1263</v>
      </c>
      <c r="H13" s="7" t="s">
        <v>1264</v>
      </c>
      <c r="I13" s="8" t="s">
        <v>4</v>
      </c>
      <c r="J13" s="8"/>
      <c r="K13" s="8"/>
      <c r="L13" s="9"/>
      <c r="M13" s="8"/>
      <c r="N13" s="7" t="s">
        <v>53</v>
      </c>
      <c r="O13" s="7" t="s">
        <v>1231</v>
      </c>
      <c r="P13" s="7" t="s">
        <v>55</v>
      </c>
      <c r="Q13" s="7" t="s">
        <v>56</v>
      </c>
      <c r="R13" s="7"/>
    </row>
    <row r="14" spans="1:18" ht="140.1" customHeight="1">
      <c r="A14" s="6" t="s">
        <v>1265</v>
      </c>
      <c r="B14" s="6" t="s">
        <v>19</v>
      </c>
      <c r="C14" s="6" t="s">
        <v>1266</v>
      </c>
      <c r="D14" s="6" t="s">
        <v>48</v>
      </c>
      <c r="E14" s="6" t="s">
        <v>49</v>
      </c>
      <c r="F14" s="6" t="s">
        <v>1267</v>
      </c>
      <c r="G14" s="6" t="s">
        <v>1268</v>
      </c>
      <c r="H14" s="6" t="s">
        <v>1269</v>
      </c>
      <c r="I14" s="8" t="s">
        <v>4</v>
      </c>
      <c r="J14" s="8"/>
      <c r="K14" s="8"/>
      <c r="L14" s="9"/>
      <c r="M14" s="8"/>
      <c r="N14" s="6" t="s">
        <v>53</v>
      </c>
      <c r="O14" s="6" t="s">
        <v>1231</v>
      </c>
      <c r="P14" s="6" t="s">
        <v>55</v>
      </c>
      <c r="Q14" s="6" t="s">
        <v>56</v>
      </c>
      <c r="R14" s="6"/>
    </row>
  </sheetData>
  <conditionalFormatting sqref="I6:I14">
    <cfRule type="cellIs" dxfId="3" priority="1" operator="equal">
      <formula>"فشلت"</formula>
    </cfRule>
    <cfRule type="cellIs" dxfId="2" priority="2" operator="equal">
      <formula>"محجوبة"</formula>
    </cfRule>
  </conditionalFormatting>
  <dataValidations count="1">
    <dataValidation type="list" sqref="I6:I14" xr:uid="{00000000-0002-0000-0900-000000000000}">
      <formula1>"لم تنفذ,نجحت,فشلت,محجوبة,غير منطبقة"</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9"/>
  <sheetViews>
    <sheetView showGridLines="0" rightToLeft="1" zoomScale="85" workbookViewId="0">
      <pane xSplit="2" ySplit="5" topLeftCell="C6" activePane="bottomRight" state="frozen"/>
      <selection pane="topRight"/>
      <selection pane="bottomLeft"/>
      <selection pane="bottomRight" activeCell="B6" sqref="B6:B9"/>
    </sheetView>
  </sheetViews>
  <sheetFormatPr defaultRowHeight="14.25"/>
  <cols>
    <col min="1" max="1" width="14" customWidth="1"/>
    <col min="2" max="2" width="25" customWidth="1"/>
    <col min="3" max="3" width="40" customWidth="1"/>
    <col min="4" max="4" width="13" customWidth="1"/>
    <col min="5" max="5" width="48" customWidth="1"/>
    <col min="6" max="6" width="50" customWidth="1"/>
    <col min="7" max="8" width="72" customWidth="1"/>
    <col min="9" max="9" width="17" customWidth="1"/>
    <col min="10" max="10" width="45" customWidth="1"/>
    <col min="11" max="11" width="20" customWidth="1"/>
    <col min="12" max="13" width="18" customWidth="1"/>
    <col min="14" max="14" width="52" customWidth="1"/>
    <col min="15" max="15" width="66" customWidth="1"/>
    <col min="16" max="16" width="26" customWidth="1"/>
    <col min="17" max="17" width="23" customWidth="1"/>
    <col min="18" max="18" width="56" customWidth="1"/>
  </cols>
  <sheetData>
    <row r="1" spans="1:18">
      <c r="A1" s="1"/>
      <c r="B1" s="1"/>
      <c r="C1" s="1"/>
      <c r="D1" s="1"/>
      <c r="E1" s="1"/>
      <c r="F1" s="1"/>
      <c r="G1" s="1"/>
      <c r="H1" s="1"/>
      <c r="I1" s="1"/>
      <c r="J1" s="1"/>
      <c r="K1" s="1"/>
      <c r="L1" s="1"/>
      <c r="M1" s="1"/>
      <c r="N1" s="1"/>
      <c r="O1" s="1"/>
      <c r="P1" s="1"/>
      <c r="Q1" s="1"/>
      <c r="R1" s="1"/>
    </row>
    <row r="2" spans="1:18" ht="30" customHeight="1">
      <c r="A2" s="2" t="s">
        <v>1270</v>
      </c>
      <c r="B2" s="1"/>
      <c r="C2" s="1"/>
      <c r="D2" s="1"/>
      <c r="E2" s="1"/>
      <c r="F2" s="1"/>
      <c r="G2" s="1"/>
      <c r="H2" s="1"/>
      <c r="I2" s="1"/>
      <c r="J2" s="1"/>
      <c r="K2" s="1"/>
      <c r="L2" s="1"/>
      <c r="M2" s="1"/>
      <c r="N2" s="1"/>
      <c r="O2" s="1"/>
      <c r="P2" s="1"/>
      <c r="Q2" s="1"/>
      <c r="R2" s="1"/>
    </row>
    <row r="3" spans="1:18">
      <c r="A3" s="3" t="s">
        <v>26</v>
      </c>
      <c r="B3" s="1"/>
      <c r="C3" s="1"/>
      <c r="D3" s="1"/>
      <c r="E3" s="1"/>
      <c r="F3" s="1"/>
      <c r="G3" s="1"/>
      <c r="H3" s="1"/>
      <c r="I3" s="1"/>
      <c r="J3" s="1"/>
      <c r="K3" s="1"/>
      <c r="L3" s="1"/>
      <c r="M3" s="1"/>
      <c r="N3" s="1"/>
      <c r="O3" s="1"/>
      <c r="P3" s="1"/>
      <c r="Q3" s="1"/>
      <c r="R3" s="1"/>
    </row>
    <row r="4" spans="1:18">
      <c r="A4" s="1"/>
      <c r="B4" s="1"/>
      <c r="C4" s="1"/>
      <c r="D4" s="1"/>
      <c r="E4" s="1"/>
      <c r="F4" s="1"/>
      <c r="G4" s="1"/>
      <c r="H4" s="1"/>
      <c r="I4" s="1"/>
      <c r="J4" s="1"/>
      <c r="K4" s="1"/>
      <c r="L4" s="1"/>
      <c r="M4" s="1"/>
      <c r="N4" s="1"/>
      <c r="O4" s="1"/>
      <c r="P4" s="1"/>
      <c r="Q4" s="1"/>
      <c r="R4" s="1"/>
    </row>
    <row r="5" spans="1:18" ht="36" customHeight="1">
      <c r="A5" s="5" t="s">
        <v>27</v>
      </c>
      <c r="B5" s="5" t="s">
        <v>28</v>
      </c>
      <c r="C5" s="5" t="s">
        <v>29</v>
      </c>
      <c r="D5" s="5" t="s">
        <v>30</v>
      </c>
      <c r="E5" s="5" t="s">
        <v>31</v>
      </c>
      <c r="F5" s="5" t="s">
        <v>32</v>
      </c>
      <c r="G5" s="5" t="s">
        <v>33</v>
      </c>
      <c r="H5" s="5" t="s">
        <v>34</v>
      </c>
      <c r="I5" s="5" t="s">
        <v>35</v>
      </c>
      <c r="J5" s="5" t="s">
        <v>36</v>
      </c>
      <c r="K5" s="5" t="s">
        <v>37</v>
      </c>
      <c r="L5" s="5" t="s">
        <v>38</v>
      </c>
      <c r="M5" s="5" t="s">
        <v>39</v>
      </c>
      <c r="N5" s="5" t="s">
        <v>40</v>
      </c>
      <c r="O5" s="5" t="s">
        <v>41</v>
      </c>
      <c r="P5" s="5" t="s">
        <v>42</v>
      </c>
      <c r="Q5" s="5" t="s">
        <v>43</v>
      </c>
      <c r="R5" s="5" t="s">
        <v>44</v>
      </c>
    </row>
    <row r="6" spans="1:18" ht="140.1" customHeight="1">
      <c r="A6" s="6" t="s">
        <v>1271</v>
      </c>
      <c r="B6" s="6" t="s">
        <v>1272</v>
      </c>
      <c r="C6" s="6" t="s">
        <v>1273</v>
      </c>
      <c r="D6" s="6" t="s">
        <v>48</v>
      </c>
      <c r="E6" s="6" t="s">
        <v>49</v>
      </c>
      <c r="F6" s="6" t="s">
        <v>1274</v>
      </c>
      <c r="G6" s="6" t="s">
        <v>1275</v>
      </c>
      <c r="H6" s="6" t="s">
        <v>1276</v>
      </c>
      <c r="I6" s="8" t="s">
        <v>4</v>
      </c>
      <c r="J6" s="8"/>
      <c r="K6" s="8"/>
      <c r="L6" s="9"/>
      <c r="M6" s="8"/>
      <c r="N6" s="6" t="s">
        <v>53</v>
      </c>
      <c r="O6" s="6" t="s">
        <v>1277</v>
      </c>
      <c r="P6" s="6" t="s">
        <v>63</v>
      </c>
      <c r="Q6" s="6" t="s">
        <v>1278</v>
      </c>
      <c r="R6" s="6"/>
    </row>
    <row r="7" spans="1:18" ht="140.1" customHeight="1">
      <c r="A7" s="7" t="s">
        <v>1279</v>
      </c>
      <c r="B7" s="7" t="s">
        <v>1272</v>
      </c>
      <c r="C7" s="7" t="s">
        <v>1280</v>
      </c>
      <c r="D7" s="7" t="s">
        <v>48</v>
      </c>
      <c r="E7" s="7" t="s">
        <v>49</v>
      </c>
      <c r="F7" s="7" t="s">
        <v>1274</v>
      </c>
      <c r="G7" s="7" t="s">
        <v>1281</v>
      </c>
      <c r="H7" s="7" t="s">
        <v>1282</v>
      </c>
      <c r="I7" s="8" t="s">
        <v>4</v>
      </c>
      <c r="J7" s="8"/>
      <c r="K7" s="8"/>
      <c r="L7" s="9"/>
      <c r="M7" s="8"/>
      <c r="N7" s="7" t="s">
        <v>53</v>
      </c>
      <c r="O7" s="7" t="s">
        <v>1277</v>
      </c>
      <c r="P7" s="7" t="s">
        <v>63</v>
      </c>
      <c r="Q7" s="7" t="s">
        <v>1278</v>
      </c>
      <c r="R7" s="7"/>
    </row>
    <row r="8" spans="1:18" ht="140.1" customHeight="1">
      <c r="A8" s="6" t="s">
        <v>1283</v>
      </c>
      <c r="B8" s="6" t="s">
        <v>1272</v>
      </c>
      <c r="C8" s="6" t="s">
        <v>1284</v>
      </c>
      <c r="D8" s="6" t="s">
        <v>48</v>
      </c>
      <c r="E8" s="6" t="s">
        <v>49</v>
      </c>
      <c r="F8" s="6" t="s">
        <v>1274</v>
      </c>
      <c r="G8" s="6" t="s">
        <v>1285</v>
      </c>
      <c r="H8" s="6" t="s">
        <v>1286</v>
      </c>
      <c r="I8" s="8" t="s">
        <v>4</v>
      </c>
      <c r="J8" s="8"/>
      <c r="K8" s="8"/>
      <c r="L8" s="9"/>
      <c r="M8" s="8"/>
      <c r="N8" s="6" t="s">
        <v>53</v>
      </c>
      <c r="O8" s="6" t="s">
        <v>1277</v>
      </c>
      <c r="P8" s="6" t="s">
        <v>63</v>
      </c>
      <c r="Q8" s="6" t="s">
        <v>1278</v>
      </c>
      <c r="R8" s="6"/>
    </row>
    <row r="9" spans="1:18" ht="140.1" customHeight="1">
      <c r="A9" s="7" t="s">
        <v>1287</v>
      </c>
      <c r="B9" s="7" t="s">
        <v>1272</v>
      </c>
      <c r="C9" s="7" t="s">
        <v>1288</v>
      </c>
      <c r="D9" s="7" t="s">
        <v>48</v>
      </c>
      <c r="E9" s="7" t="s">
        <v>49</v>
      </c>
      <c r="F9" s="7" t="s">
        <v>1274</v>
      </c>
      <c r="G9" s="7" t="s">
        <v>1289</v>
      </c>
      <c r="H9" s="7" t="s">
        <v>1290</v>
      </c>
      <c r="I9" s="8" t="s">
        <v>4</v>
      </c>
      <c r="J9" s="8"/>
      <c r="K9" s="8"/>
      <c r="L9" s="9"/>
      <c r="M9" s="8"/>
      <c r="N9" s="7" t="s">
        <v>53</v>
      </c>
      <c r="O9" s="7" t="s">
        <v>1277</v>
      </c>
      <c r="P9" s="7" t="s">
        <v>63</v>
      </c>
      <c r="Q9" s="7" t="s">
        <v>1278</v>
      </c>
      <c r="R9" s="7"/>
    </row>
  </sheetData>
  <conditionalFormatting sqref="I6:I9">
    <cfRule type="cellIs" dxfId="1" priority="1" operator="equal">
      <formula>"فشلت"</formula>
    </cfRule>
    <cfRule type="cellIs" dxfId="0" priority="2" operator="equal">
      <formula>"محجوبة"</formula>
    </cfRule>
  </conditionalFormatting>
  <dataValidations count="1">
    <dataValidation type="list" sqref="I6:I9" xr:uid="{00000000-0002-0000-0A00-000000000000}">
      <formula1>"لم تنفذ,نجحت,فشلت,محجوبة,غير منطبقة"</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931"/>
  <sheetViews>
    <sheetView showGridLines="0" rightToLeft="1" zoomScale="85" workbookViewId="0">
      <pane xSplit="1" ySplit="5" topLeftCell="D6" activePane="bottomRight" state="frozen"/>
      <selection pane="topRight"/>
      <selection pane="bottomLeft"/>
      <selection pane="bottomRight" activeCell="E6" sqref="E6:G6"/>
    </sheetView>
  </sheetViews>
  <sheetFormatPr defaultRowHeight="14.25"/>
  <cols>
    <col min="1" max="1" width="36" customWidth="1"/>
    <col min="2" max="2" width="65" customWidth="1"/>
    <col min="3" max="3" width="85" customWidth="1"/>
    <col min="4" max="4" width="34" customWidth="1"/>
    <col min="5" max="5" width="18" customWidth="1"/>
    <col min="6" max="6" width="100" customWidth="1"/>
    <col min="7" max="7" width="65" customWidth="1"/>
  </cols>
  <sheetData>
    <row r="1" spans="1:7">
      <c r="A1" s="1"/>
      <c r="B1" s="1"/>
      <c r="C1" s="1"/>
      <c r="D1" s="1"/>
      <c r="E1" s="1"/>
      <c r="F1" s="1"/>
      <c r="G1" s="1"/>
    </row>
    <row r="2" spans="1:7" ht="30" customHeight="1">
      <c r="A2" s="2" t="s">
        <v>1291</v>
      </c>
      <c r="B2" s="1"/>
      <c r="C2" s="1"/>
      <c r="D2" s="1"/>
      <c r="E2" s="1"/>
      <c r="F2" s="1"/>
      <c r="G2" s="1"/>
    </row>
    <row r="3" spans="1:7">
      <c r="A3" s="1" t="s">
        <v>1292</v>
      </c>
      <c r="B3" s="1"/>
      <c r="C3" s="1"/>
      <c r="D3" s="1"/>
      <c r="E3" s="1"/>
      <c r="F3" s="1"/>
      <c r="G3" s="1"/>
    </row>
    <row r="4" spans="1:7">
      <c r="A4" s="1"/>
      <c r="B4" s="1"/>
      <c r="C4" s="1"/>
      <c r="D4" s="1"/>
      <c r="E4" s="1"/>
      <c r="F4" s="1"/>
      <c r="G4" s="1"/>
    </row>
    <row r="5" spans="1:7" ht="30" customHeight="1">
      <c r="A5" s="4" t="s">
        <v>1293</v>
      </c>
      <c r="B5" s="4" t="s">
        <v>1294</v>
      </c>
      <c r="C5" s="4" t="s">
        <v>1295</v>
      </c>
      <c r="D5" s="4" t="s">
        <v>1296</v>
      </c>
      <c r="E5" s="4" t="s">
        <v>1297</v>
      </c>
      <c r="F5" s="4" t="s">
        <v>1298</v>
      </c>
      <c r="G5" s="4" t="s">
        <v>1299</v>
      </c>
    </row>
    <row r="6" spans="1:7" ht="69.95" customHeight="1">
      <c r="A6" s="6" t="s">
        <v>1300</v>
      </c>
      <c r="B6" s="6" t="s">
        <v>1301</v>
      </c>
      <c r="C6" s="6" t="s">
        <v>1302</v>
      </c>
      <c r="D6" s="6" t="s">
        <v>1303</v>
      </c>
      <c r="E6" s="6" t="s">
        <v>1304</v>
      </c>
      <c r="F6" s="6" t="s">
        <v>1305</v>
      </c>
      <c r="G6" s="6" t="s">
        <v>1306</v>
      </c>
    </row>
    <row r="7" spans="1:7" ht="69.95" customHeight="1">
      <c r="A7" s="6" t="s">
        <v>1300</v>
      </c>
      <c r="B7" s="6" t="s">
        <v>1307</v>
      </c>
      <c r="C7" s="6" t="s">
        <v>1308</v>
      </c>
      <c r="D7" s="6" t="s">
        <v>1303</v>
      </c>
      <c r="E7" s="6" t="s">
        <v>1304</v>
      </c>
      <c r="F7" s="6" t="s">
        <v>1309</v>
      </c>
      <c r="G7" s="6" t="s">
        <v>1306</v>
      </c>
    </row>
    <row r="8" spans="1:7" ht="69.95" customHeight="1">
      <c r="A8" s="6" t="s">
        <v>1300</v>
      </c>
      <c r="B8" s="6" t="s">
        <v>1310</v>
      </c>
      <c r="C8" s="6" t="s">
        <v>1311</v>
      </c>
      <c r="D8" s="6" t="s">
        <v>1303</v>
      </c>
      <c r="E8" s="6" t="s">
        <v>1304</v>
      </c>
      <c r="F8" s="6" t="s">
        <v>1312</v>
      </c>
      <c r="G8" s="6" t="s">
        <v>1306</v>
      </c>
    </row>
    <row r="9" spans="1:7" ht="69.95" customHeight="1">
      <c r="A9" s="6" t="s">
        <v>1300</v>
      </c>
      <c r="B9" s="6" t="s">
        <v>1313</v>
      </c>
      <c r="C9" s="6" t="s">
        <v>1314</v>
      </c>
      <c r="D9" s="6" t="s">
        <v>1303</v>
      </c>
      <c r="E9" s="6" t="s">
        <v>1304</v>
      </c>
      <c r="F9" s="6" t="s">
        <v>1315</v>
      </c>
      <c r="G9" s="6" t="s">
        <v>1306</v>
      </c>
    </row>
    <row r="10" spans="1:7" ht="69.95" customHeight="1">
      <c r="A10" s="6" t="s">
        <v>1300</v>
      </c>
      <c r="B10" s="6" t="s">
        <v>1316</v>
      </c>
      <c r="C10" s="6" t="s">
        <v>1317</v>
      </c>
      <c r="D10" s="6" t="s">
        <v>1303</v>
      </c>
      <c r="E10" s="6" t="s">
        <v>1304</v>
      </c>
      <c r="F10" s="6" t="s">
        <v>1318</v>
      </c>
      <c r="G10" s="6" t="s">
        <v>1306</v>
      </c>
    </row>
    <row r="11" spans="1:7" ht="69.95" customHeight="1">
      <c r="A11" s="6" t="s">
        <v>1300</v>
      </c>
      <c r="B11" s="6" t="s">
        <v>1319</v>
      </c>
      <c r="C11" s="6" t="s">
        <v>1320</v>
      </c>
      <c r="D11" s="6" t="s">
        <v>1303</v>
      </c>
      <c r="E11" s="6" t="s">
        <v>1304</v>
      </c>
      <c r="F11" s="6" t="s">
        <v>1321</v>
      </c>
      <c r="G11" s="6" t="s">
        <v>1306</v>
      </c>
    </row>
    <row r="12" spans="1:7" ht="69.95" customHeight="1">
      <c r="A12" s="6" t="s">
        <v>1300</v>
      </c>
      <c r="B12" s="6" t="s">
        <v>1322</v>
      </c>
      <c r="C12" s="6" t="s">
        <v>1323</v>
      </c>
      <c r="D12" s="6" t="s">
        <v>1303</v>
      </c>
      <c r="E12" s="6" t="s">
        <v>1304</v>
      </c>
      <c r="F12" s="6" t="s">
        <v>1324</v>
      </c>
      <c r="G12" s="6" t="s">
        <v>1306</v>
      </c>
    </row>
    <row r="13" spans="1:7" ht="69.95" customHeight="1">
      <c r="A13" s="6" t="s">
        <v>1300</v>
      </c>
      <c r="B13" s="6" t="s">
        <v>1325</v>
      </c>
      <c r="C13" s="6" t="s">
        <v>1326</v>
      </c>
      <c r="D13" s="6" t="s">
        <v>1303</v>
      </c>
      <c r="E13" s="6" t="s">
        <v>1304</v>
      </c>
      <c r="F13" s="6" t="s">
        <v>1327</v>
      </c>
      <c r="G13" s="6" t="s">
        <v>1306</v>
      </c>
    </row>
    <row r="14" spans="1:7" ht="69.95" customHeight="1">
      <c r="A14" s="6" t="s">
        <v>1300</v>
      </c>
      <c r="B14" s="6" t="s">
        <v>1328</v>
      </c>
      <c r="C14" s="6" t="s">
        <v>1329</v>
      </c>
      <c r="D14" s="6" t="s">
        <v>1303</v>
      </c>
      <c r="E14" s="6" t="s">
        <v>1304</v>
      </c>
      <c r="F14" s="6" t="s">
        <v>1330</v>
      </c>
      <c r="G14" s="6" t="s">
        <v>1306</v>
      </c>
    </row>
    <row r="15" spans="1:7" ht="69.95" customHeight="1">
      <c r="A15" s="6" t="s">
        <v>1300</v>
      </c>
      <c r="B15" s="6" t="s">
        <v>1331</v>
      </c>
      <c r="C15" s="6" t="s">
        <v>1332</v>
      </c>
      <c r="D15" s="6" t="s">
        <v>1303</v>
      </c>
      <c r="E15" s="6" t="s">
        <v>1304</v>
      </c>
      <c r="F15" s="6" t="s">
        <v>1333</v>
      </c>
      <c r="G15" s="6" t="s">
        <v>1306</v>
      </c>
    </row>
    <row r="16" spans="1:7" ht="69.95" customHeight="1">
      <c r="A16" s="6" t="s">
        <v>1300</v>
      </c>
      <c r="B16" s="6" t="s">
        <v>1334</v>
      </c>
      <c r="C16" s="6" t="s">
        <v>1335</v>
      </c>
      <c r="D16" s="6" t="s">
        <v>1303</v>
      </c>
      <c r="E16" s="6" t="s">
        <v>1304</v>
      </c>
      <c r="F16" s="6" t="s">
        <v>1336</v>
      </c>
      <c r="G16" s="6" t="s">
        <v>1306</v>
      </c>
    </row>
    <row r="17" spans="1:7" ht="69.95" customHeight="1">
      <c r="A17" s="6" t="s">
        <v>1300</v>
      </c>
      <c r="B17" s="6" t="s">
        <v>1337</v>
      </c>
      <c r="C17" s="6" t="s">
        <v>1338</v>
      </c>
      <c r="D17" s="6" t="s">
        <v>1303</v>
      </c>
      <c r="E17" s="6" t="s">
        <v>1304</v>
      </c>
      <c r="F17" s="6" t="s">
        <v>1339</v>
      </c>
      <c r="G17" s="6" t="s">
        <v>1306</v>
      </c>
    </row>
    <row r="18" spans="1:7" ht="69.95" customHeight="1">
      <c r="A18" s="6" t="s">
        <v>1300</v>
      </c>
      <c r="B18" s="6" t="s">
        <v>1340</v>
      </c>
      <c r="C18" s="6" t="s">
        <v>1341</v>
      </c>
      <c r="D18" s="6" t="s">
        <v>1303</v>
      </c>
      <c r="E18" s="6" t="s">
        <v>1304</v>
      </c>
      <c r="F18" s="6" t="s">
        <v>1342</v>
      </c>
      <c r="G18" s="6" t="s">
        <v>1306</v>
      </c>
    </row>
    <row r="19" spans="1:7" ht="69.95" customHeight="1">
      <c r="A19" s="6" t="s">
        <v>1300</v>
      </c>
      <c r="B19" s="6" t="s">
        <v>1343</v>
      </c>
      <c r="C19" s="6" t="s">
        <v>1344</v>
      </c>
      <c r="D19" s="6" t="s">
        <v>1303</v>
      </c>
      <c r="E19" s="6" t="s">
        <v>1304</v>
      </c>
      <c r="F19" s="6" t="s">
        <v>1345</v>
      </c>
      <c r="G19" s="6" t="s">
        <v>1306</v>
      </c>
    </row>
    <row r="20" spans="1:7" ht="69.95" customHeight="1">
      <c r="A20" s="6" t="s">
        <v>1300</v>
      </c>
      <c r="B20" s="6" t="s">
        <v>1346</v>
      </c>
      <c r="C20" s="6" t="s">
        <v>1347</v>
      </c>
      <c r="D20" s="6" t="s">
        <v>1303</v>
      </c>
      <c r="E20" s="6" t="s">
        <v>1304</v>
      </c>
      <c r="F20" s="6" t="s">
        <v>1348</v>
      </c>
      <c r="G20" s="6" t="s">
        <v>1306</v>
      </c>
    </row>
    <row r="21" spans="1:7" ht="69.95" customHeight="1">
      <c r="A21" s="6" t="s">
        <v>1300</v>
      </c>
      <c r="B21" s="6" t="s">
        <v>1349</v>
      </c>
      <c r="C21" s="6" t="s">
        <v>1350</v>
      </c>
      <c r="D21" s="6" t="s">
        <v>1303</v>
      </c>
      <c r="E21" s="6" t="s">
        <v>1304</v>
      </c>
      <c r="F21" s="6" t="s">
        <v>1351</v>
      </c>
      <c r="G21" s="6" t="s">
        <v>1306</v>
      </c>
    </row>
    <row r="22" spans="1:7" ht="69.95" customHeight="1">
      <c r="A22" s="6" t="s">
        <v>1300</v>
      </c>
      <c r="B22" s="6" t="s">
        <v>1352</v>
      </c>
      <c r="C22" s="6" t="s">
        <v>1353</v>
      </c>
      <c r="D22" s="6" t="s">
        <v>1303</v>
      </c>
      <c r="E22" s="6" t="s">
        <v>1304</v>
      </c>
      <c r="F22" s="6" t="s">
        <v>1354</v>
      </c>
      <c r="G22" s="6" t="s">
        <v>1306</v>
      </c>
    </row>
    <row r="23" spans="1:7" ht="69.95" customHeight="1">
      <c r="A23" s="6" t="s">
        <v>1355</v>
      </c>
      <c r="B23" s="6" t="s">
        <v>1356</v>
      </c>
      <c r="C23" s="6" t="s">
        <v>1357</v>
      </c>
      <c r="D23" s="6" t="s">
        <v>1303</v>
      </c>
      <c r="E23" s="6" t="s">
        <v>1304</v>
      </c>
      <c r="F23" s="6" t="s">
        <v>1358</v>
      </c>
      <c r="G23" s="6" t="s">
        <v>1306</v>
      </c>
    </row>
    <row r="24" spans="1:7" ht="69.95" customHeight="1">
      <c r="A24" s="6" t="s">
        <v>1355</v>
      </c>
      <c r="B24" s="6" t="s">
        <v>1359</v>
      </c>
      <c r="C24" s="6" t="s">
        <v>1360</v>
      </c>
      <c r="D24" s="6" t="s">
        <v>1303</v>
      </c>
      <c r="E24" s="6" t="s">
        <v>1304</v>
      </c>
      <c r="F24" s="6" t="s">
        <v>1361</v>
      </c>
      <c r="G24" s="6" t="s">
        <v>1306</v>
      </c>
    </row>
    <row r="25" spans="1:7" ht="69.95" customHeight="1">
      <c r="A25" s="6" t="s">
        <v>1355</v>
      </c>
      <c r="B25" s="6" t="s">
        <v>1362</v>
      </c>
      <c r="C25" s="6" t="s">
        <v>1363</v>
      </c>
      <c r="D25" s="6" t="s">
        <v>1303</v>
      </c>
      <c r="E25" s="6" t="s">
        <v>1304</v>
      </c>
      <c r="F25" s="6" t="s">
        <v>1364</v>
      </c>
      <c r="G25" s="6" t="s">
        <v>1306</v>
      </c>
    </row>
    <row r="26" spans="1:7" ht="69.95" customHeight="1">
      <c r="A26" s="6" t="s">
        <v>1355</v>
      </c>
      <c r="B26" s="6" t="s">
        <v>1365</v>
      </c>
      <c r="C26" s="6" t="s">
        <v>1366</v>
      </c>
      <c r="D26" s="6" t="s">
        <v>1303</v>
      </c>
      <c r="E26" s="6" t="s">
        <v>1304</v>
      </c>
      <c r="F26" s="6" t="s">
        <v>1367</v>
      </c>
      <c r="G26" s="6" t="s">
        <v>1306</v>
      </c>
    </row>
    <row r="27" spans="1:7" ht="69.95" customHeight="1">
      <c r="A27" s="6" t="s">
        <v>1355</v>
      </c>
      <c r="B27" s="6" t="s">
        <v>1368</v>
      </c>
      <c r="C27" s="6" t="s">
        <v>1369</v>
      </c>
      <c r="D27" s="6" t="s">
        <v>1303</v>
      </c>
      <c r="E27" s="6" t="s">
        <v>1304</v>
      </c>
      <c r="F27" s="6" t="s">
        <v>1370</v>
      </c>
      <c r="G27" s="6" t="s">
        <v>1306</v>
      </c>
    </row>
    <row r="28" spans="1:7" ht="69.95" customHeight="1">
      <c r="A28" s="6" t="s">
        <v>1355</v>
      </c>
      <c r="B28" s="6" t="s">
        <v>1371</v>
      </c>
      <c r="C28" s="6" t="s">
        <v>1372</v>
      </c>
      <c r="D28" s="6" t="s">
        <v>1303</v>
      </c>
      <c r="E28" s="6" t="s">
        <v>1304</v>
      </c>
      <c r="F28" s="6" t="s">
        <v>1373</v>
      </c>
      <c r="G28" s="6" t="s">
        <v>1306</v>
      </c>
    </row>
    <row r="29" spans="1:7" ht="69.95" customHeight="1">
      <c r="A29" s="6" t="s">
        <v>1355</v>
      </c>
      <c r="B29" s="6" t="s">
        <v>1374</v>
      </c>
      <c r="C29" s="6" t="s">
        <v>1375</v>
      </c>
      <c r="D29" s="6" t="s">
        <v>1303</v>
      </c>
      <c r="E29" s="6" t="s">
        <v>1304</v>
      </c>
      <c r="F29" s="6" t="s">
        <v>1376</v>
      </c>
      <c r="G29" s="6" t="s">
        <v>1306</v>
      </c>
    </row>
    <row r="30" spans="1:7" ht="69.95" customHeight="1">
      <c r="A30" s="6" t="s">
        <v>1355</v>
      </c>
      <c r="B30" s="6" t="s">
        <v>1377</v>
      </c>
      <c r="C30" s="6" t="s">
        <v>1378</v>
      </c>
      <c r="D30" s="6" t="s">
        <v>1303</v>
      </c>
      <c r="E30" s="6" t="s">
        <v>1304</v>
      </c>
      <c r="F30" s="6" t="s">
        <v>1379</v>
      </c>
      <c r="G30" s="6" t="s">
        <v>1306</v>
      </c>
    </row>
    <row r="31" spans="1:7" ht="69.95" customHeight="1">
      <c r="A31" s="6" t="s">
        <v>1355</v>
      </c>
      <c r="B31" s="6" t="s">
        <v>1380</v>
      </c>
      <c r="C31" s="6" t="s">
        <v>1381</v>
      </c>
      <c r="D31" s="6" t="s">
        <v>1303</v>
      </c>
      <c r="E31" s="6" t="s">
        <v>1304</v>
      </c>
      <c r="F31" s="6" t="s">
        <v>1382</v>
      </c>
      <c r="G31" s="6" t="s">
        <v>1306</v>
      </c>
    </row>
    <row r="32" spans="1:7" ht="69.95" customHeight="1">
      <c r="A32" s="6" t="s">
        <v>1355</v>
      </c>
      <c r="B32" s="6" t="s">
        <v>1337</v>
      </c>
      <c r="C32" s="6" t="s">
        <v>1383</v>
      </c>
      <c r="D32" s="6" t="s">
        <v>1303</v>
      </c>
      <c r="E32" s="6" t="s">
        <v>1304</v>
      </c>
      <c r="F32" s="6" t="s">
        <v>1384</v>
      </c>
      <c r="G32" s="6" t="s">
        <v>1306</v>
      </c>
    </row>
    <row r="33" spans="1:7" ht="69.95" customHeight="1">
      <c r="A33" s="6" t="s">
        <v>1355</v>
      </c>
      <c r="B33" s="6" t="s">
        <v>1385</v>
      </c>
      <c r="C33" s="6" t="s">
        <v>1341</v>
      </c>
      <c r="D33" s="6" t="s">
        <v>1303</v>
      </c>
      <c r="E33" s="6" t="s">
        <v>1304</v>
      </c>
      <c r="F33" s="6" t="s">
        <v>1386</v>
      </c>
      <c r="G33" s="6" t="s">
        <v>1306</v>
      </c>
    </row>
    <row r="34" spans="1:7" ht="69.95" customHeight="1">
      <c r="A34" s="6" t="s">
        <v>1355</v>
      </c>
      <c r="B34" s="6" t="s">
        <v>1387</v>
      </c>
      <c r="C34" s="6" t="s">
        <v>1388</v>
      </c>
      <c r="D34" s="6" t="s">
        <v>1303</v>
      </c>
      <c r="E34" s="6" t="s">
        <v>1304</v>
      </c>
      <c r="F34" s="6" t="s">
        <v>1389</v>
      </c>
      <c r="G34" s="6" t="s">
        <v>1306</v>
      </c>
    </row>
    <row r="35" spans="1:7" ht="69.95" customHeight="1">
      <c r="A35" s="6" t="s">
        <v>1355</v>
      </c>
      <c r="B35" s="6" t="s">
        <v>1390</v>
      </c>
      <c r="C35" s="6" t="s">
        <v>1391</v>
      </c>
      <c r="D35" s="6" t="s">
        <v>1303</v>
      </c>
      <c r="E35" s="6" t="s">
        <v>1304</v>
      </c>
      <c r="F35" s="6" t="s">
        <v>1392</v>
      </c>
      <c r="G35" s="6" t="s">
        <v>1306</v>
      </c>
    </row>
    <row r="36" spans="1:7" ht="69.95" customHeight="1">
      <c r="A36" s="6" t="s">
        <v>1355</v>
      </c>
      <c r="B36" s="6" t="s">
        <v>1393</v>
      </c>
      <c r="C36" s="6" t="s">
        <v>1394</v>
      </c>
      <c r="D36" s="6" t="s">
        <v>1303</v>
      </c>
      <c r="E36" s="6" t="s">
        <v>1304</v>
      </c>
      <c r="F36" s="6" t="s">
        <v>1395</v>
      </c>
      <c r="G36" s="6" t="s">
        <v>1306</v>
      </c>
    </row>
    <row r="37" spans="1:7" ht="69.95" customHeight="1">
      <c r="A37" s="6" t="s">
        <v>1396</v>
      </c>
      <c r="B37" s="6" t="s">
        <v>1397</v>
      </c>
      <c r="C37" s="6" t="s">
        <v>1398</v>
      </c>
      <c r="D37" s="6" t="s">
        <v>1303</v>
      </c>
      <c r="E37" s="6" t="s">
        <v>1304</v>
      </c>
      <c r="F37" s="6" t="s">
        <v>1399</v>
      </c>
      <c r="G37" s="6" t="s">
        <v>1306</v>
      </c>
    </row>
    <row r="38" spans="1:7" ht="69.95" customHeight="1">
      <c r="A38" s="6" t="s">
        <v>1396</v>
      </c>
      <c r="B38" s="6" t="s">
        <v>1400</v>
      </c>
      <c r="C38" s="6" t="s">
        <v>1401</v>
      </c>
      <c r="D38" s="6" t="s">
        <v>1303</v>
      </c>
      <c r="E38" s="6" t="s">
        <v>1304</v>
      </c>
      <c r="F38" s="6" t="s">
        <v>1402</v>
      </c>
      <c r="G38" s="6" t="s">
        <v>1306</v>
      </c>
    </row>
    <row r="39" spans="1:7" ht="69.95" customHeight="1">
      <c r="A39" s="6" t="s">
        <v>1396</v>
      </c>
      <c r="B39" s="6" t="s">
        <v>1403</v>
      </c>
      <c r="C39" s="6" t="s">
        <v>1404</v>
      </c>
      <c r="D39" s="6" t="s">
        <v>1303</v>
      </c>
      <c r="E39" s="6" t="s">
        <v>1304</v>
      </c>
      <c r="F39" s="6" t="s">
        <v>1405</v>
      </c>
      <c r="G39" s="6" t="s">
        <v>1306</v>
      </c>
    </row>
    <row r="40" spans="1:7" ht="69.95" customHeight="1">
      <c r="A40" s="6" t="s">
        <v>1396</v>
      </c>
      <c r="B40" s="6" t="s">
        <v>1406</v>
      </c>
      <c r="C40" s="6" t="s">
        <v>1407</v>
      </c>
      <c r="D40" s="6" t="s">
        <v>1303</v>
      </c>
      <c r="E40" s="6" t="s">
        <v>1304</v>
      </c>
      <c r="F40" s="6" t="s">
        <v>1408</v>
      </c>
      <c r="G40" s="6" t="s">
        <v>1306</v>
      </c>
    </row>
    <row r="41" spans="1:7" ht="69.95" customHeight="1">
      <c r="A41" s="6" t="s">
        <v>1396</v>
      </c>
      <c r="B41" s="6" t="s">
        <v>1409</v>
      </c>
      <c r="C41" s="6" t="s">
        <v>1410</v>
      </c>
      <c r="D41" s="6" t="s">
        <v>1303</v>
      </c>
      <c r="E41" s="6" t="s">
        <v>1304</v>
      </c>
      <c r="F41" s="6" t="s">
        <v>1411</v>
      </c>
      <c r="G41" s="6" t="s">
        <v>1306</v>
      </c>
    </row>
    <row r="42" spans="1:7" ht="69.95" customHeight="1">
      <c r="A42" s="6" t="s">
        <v>1396</v>
      </c>
      <c r="B42" s="6" t="s">
        <v>1412</v>
      </c>
      <c r="C42" s="6" t="s">
        <v>1413</v>
      </c>
      <c r="D42" s="6" t="s">
        <v>1303</v>
      </c>
      <c r="E42" s="6" t="s">
        <v>1304</v>
      </c>
      <c r="F42" s="6" t="s">
        <v>1414</v>
      </c>
      <c r="G42" s="6" t="s">
        <v>1306</v>
      </c>
    </row>
    <row r="43" spans="1:7" ht="69.95" customHeight="1">
      <c r="A43" s="6" t="s">
        <v>1396</v>
      </c>
      <c r="B43" s="6" t="s">
        <v>1415</v>
      </c>
      <c r="C43" s="6" t="s">
        <v>1416</v>
      </c>
      <c r="D43" s="6" t="s">
        <v>1303</v>
      </c>
      <c r="E43" s="6" t="s">
        <v>1304</v>
      </c>
      <c r="F43" s="6" t="s">
        <v>1417</v>
      </c>
      <c r="G43" s="6" t="s">
        <v>1306</v>
      </c>
    </row>
    <row r="44" spans="1:7" ht="69.95" customHeight="1">
      <c r="A44" s="6" t="s">
        <v>1396</v>
      </c>
      <c r="B44" s="6" t="s">
        <v>1418</v>
      </c>
      <c r="C44" s="6" t="s">
        <v>1419</v>
      </c>
      <c r="D44" s="6" t="s">
        <v>1303</v>
      </c>
      <c r="E44" s="6" t="s">
        <v>1304</v>
      </c>
      <c r="F44" s="6" t="s">
        <v>1420</v>
      </c>
      <c r="G44" s="6" t="s">
        <v>1306</v>
      </c>
    </row>
    <row r="45" spans="1:7" ht="69.95" customHeight="1">
      <c r="A45" s="6" t="s">
        <v>1396</v>
      </c>
      <c r="B45" s="6" t="s">
        <v>1421</v>
      </c>
      <c r="C45" s="6" t="s">
        <v>1422</v>
      </c>
      <c r="D45" s="6" t="s">
        <v>1303</v>
      </c>
      <c r="E45" s="6" t="s">
        <v>1304</v>
      </c>
      <c r="F45" s="6" t="s">
        <v>1423</v>
      </c>
      <c r="G45" s="6" t="s">
        <v>1306</v>
      </c>
    </row>
    <row r="46" spans="1:7" ht="69.95" customHeight="1">
      <c r="A46" s="6" t="s">
        <v>1396</v>
      </c>
      <c r="B46" s="6" t="s">
        <v>1380</v>
      </c>
      <c r="C46" s="6" t="s">
        <v>1424</v>
      </c>
      <c r="D46" s="6" t="s">
        <v>1303</v>
      </c>
      <c r="E46" s="6" t="s">
        <v>1304</v>
      </c>
      <c r="F46" s="6" t="s">
        <v>1425</v>
      </c>
      <c r="G46" s="6" t="s">
        <v>1306</v>
      </c>
    </row>
    <row r="47" spans="1:7" ht="69.95" customHeight="1">
      <c r="A47" s="6" t="s">
        <v>1396</v>
      </c>
      <c r="B47" s="6" t="s">
        <v>1337</v>
      </c>
      <c r="C47" s="6" t="s">
        <v>1426</v>
      </c>
      <c r="D47" s="6" t="s">
        <v>1303</v>
      </c>
      <c r="E47" s="6" t="s">
        <v>1304</v>
      </c>
      <c r="F47" s="6" t="s">
        <v>1427</v>
      </c>
      <c r="G47" s="6" t="s">
        <v>1306</v>
      </c>
    </row>
    <row r="48" spans="1:7" ht="69.95" customHeight="1">
      <c r="A48" s="6" t="s">
        <v>1396</v>
      </c>
      <c r="B48" s="6" t="s">
        <v>1428</v>
      </c>
      <c r="C48" s="6" t="s">
        <v>1341</v>
      </c>
      <c r="D48" s="6" t="s">
        <v>1303</v>
      </c>
      <c r="E48" s="6" t="s">
        <v>1304</v>
      </c>
      <c r="F48" s="6" t="s">
        <v>1429</v>
      </c>
      <c r="G48" s="6" t="s">
        <v>1306</v>
      </c>
    </row>
    <row r="49" spans="1:7" ht="69.95" customHeight="1">
      <c r="A49" s="6" t="s">
        <v>1396</v>
      </c>
      <c r="B49" s="6" t="s">
        <v>1430</v>
      </c>
      <c r="C49" s="6" t="s">
        <v>1431</v>
      </c>
      <c r="D49" s="6" t="s">
        <v>1303</v>
      </c>
      <c r="E49" s="6" t="s">
        <v>1304</v>
      </c>
      <c r="F49" s="6" t="s">
        <v>1432</v>
      </c>
      <c r="G49" s="6" t="s">
        <v>1306</v>
      </c>
    </row>
    <row r="50" spans="1:7" ht="69.95" customHeight="1">
      <c r="A50" s="6" t="s">
        <v>1396</v>
      </c>
      <c r="B50" s="6" t="s">
        <v>1433</v>
      </c>
      <c r="C50" s="6" t="s">
        <v>1434</v>
      </c>
      <c r="D50" s="6" t="s">
        <v>1303</v>
      </c>
      <c r="E50" s="6" t="s">
        <v>1304</v>
      </c>
      <c r="F50" s="6" t="s">
        <v>1435</v>
      </c>
      <c r="G50" s="6" t="s">
        <v>1306</v>
      </c>
    </row>
    <row r="51" spans="1:7" ht="69.95" customHeight="1">
      <c r="A51" s="6" t="s">
        <v>1396</v>
      </c>
      <c r="B51" s="6" t="s">
        <v>1436</v>
      </c>
      <c r="C51" s="6" t="s">
        <v>1437</v>
      </c>
      <c r="D51" s="6" t="s">
        <v>1303</v>
      </c>
      <c r="E51" s="6" t="s">
        <v>1304</v>
      </c>
      <c r="F51" s="6" t="s">
        <v>1438</v>
      </c>
      <c r="G51" s="6" t="s">
        <v>1306</v>
      </c>
    </row>
    <row r="52" spans="1:7" ht="69.95" customHeight="1">
      <c r="A52" s="6" t="s">
        <v>1396</v>
      </c>
      <c r="B52" s="6" t="s">
        <v>1439</v>
      </c>
      <c r="C52" s="6" t="s">
        <v>1440</v>
      </c>
      <c r="D52" s="6" t="s">
        <v>1303</v>
      </c>
      <c r="E52" s="6" t="s">
        <v>1304</v>
      </c>
      <c r="F52" s="6" t="s">
        <v>1441</v>
      </c>
      <c r="G52" s="6" t="s">
        <v>1306</v>
      </c>
    </row>
    <row r="53" spans="1:7" ht="69.95" customHeight="1">
      <c r="A53" s="6" t="s">
        <v>1396</v>
      </c>
      <c r="B53" s="6" t="s">
        <v>1442</v>
      </c>
      <c r="C53" s="6" t="s">
        <v>1443</v>
      </c>
      <c r="D53" s="6" t="s">
        <v>1303</v>
      </c>
      <c r="E53" s="6" t="s">
        <v>1304</v>
      </c>
      <c r="F53" s="6" t="s">
        <v>1444</v>
      </c>
      <c r="G53" s="6" t="s">
        <v>1306</v>
      </c>
    </row>
    <row r="54" spans="1:7" ht="69.95" customHeight="1">
      <c r="A54" s="6" t="s">
        <v>1396</v>
      </c>
      <c r="B54" s="6" t="s">
        <v>1445</v>
      </c>
      <c r="C54" s="6" t="s">
        <v>1446</v>
      </c>
      <c r="D54" s="6" t="s">
        <v>1303</v>
      </c>
      <c r="E54" s="6" t="s">
        <v>1304</v>
      </c>
      <c r="F54" s="6" t="s">
        <v>1447</v>
      </c>
      <c r="G54" s="6" t="s">
        <v>1306</v>
      </c>
    </row>
    <row r="55" spans="1:7" ht="69.95" customHeight="1">
      <c r="A55" s="6" t="s">
        <v>1396</v>
      </c>
      <c r="B55" s="6" t="s">
        <v>1448</v>
      </c>
      <c r="C55" s="6" t="s">
        <v>1449</v>
      </c>
      <c r="D55" s="6" t="s">
        <v>1303</v>
      </c>
      <c r="E55" s="6" t="s">
        <v>1304</v>
      </c>
      <c r="F55" s="6" t="s">
        <v>1450</v>
      </c>
      <c r="G55" s="6" t="s">
        <v>1306</v>
      </c>
    </row>
    <row r="56" spans="1:7" ht="69.95" customHeight="1">
      <c r="A56" s="6" t="s">
        <v>1396</v>
      </c>
      <c r="B56" s="6" t="s">
        <v>1451</v>
      </c>
      <c r="C56" s="6" t="s">
        <v>1452</v>
      </c>
      <c r="D56" s="6" t="s">
        <v>1303</v>
      </c>
      <c r="E56" s="6" t="s">
        <v>1304</v>
      </c>
      <c r="F56" s="6" t="s">
        <v>1453</v>
      </c>
      <c r="G56" s="6" t="s">
        <v>1306</v>
      </c>
    </row>
    <row r="57" spans="1:7" ht="69.95" customHeight="1">
      <c r="A57" s="6" t="s">
        <v>1396</v>
      </c>
      <c r="B57" s="6" t="s">
        <v>1454</v>
      </c>
      <c r="C57" s="6" t="s">
        <v>1455</v>
      </c>
      <c r="D57" s="6" t="s">
        <v>1303</v>
      </c>
      <c r="E57" s="6" t="s">
        <v>1304</v>
      </c>
      <c r="F57" s="6" t="s">
        <v>1456</v>
      </c>
      <c r="G57" s="6" t="s">
        <v>1306</v>
      </c>
    </row>
    <row r="58" spans="1:7" ht="69.95" customHeight="1">
      <c r="A58" s="6" t="s">
        <v>1396</v>
      </c>
      <c r="B58" s="6" t="s">
        <v>1457</v>
      </c>
      <c r="C58" s="6" t="s">
        <v>1458</v>
      </c>
      <c r="D58" s="6" t="s">
        <v>1303</v>
      </c>
      <c r="E58" s="6" t="s">
        <v>1304</v>
      </c>
      <c r="F58" s="6" t="s">
        <v>1459</v>
      </c>
      <c r="G58" s="6" t="s">
        <v>1306</v>
      </c>
    </row>
    <row r="59" spans="1:7" ht="69.95" customHeight="1">
      <c r="A59" s="6" t="s">
        <v>1396</v>
      </c>
      <c r="B59" s="6" t="s">
        <v>1460</v>
      </c>
      <c r="C59" s="6" t="s">
        <v>1461</v>
      </c>
      <c r="D59" s="6" t="s">
        <v>1303</v>
      </c>
      <c r="E59" s="6" t="s">
        <v>1304</v>
      </c>
      <c r="F59" s="6" t="s">
        <v>1462</v>
      </c>
      <c r="G59" s="6" t="s">
        <v>1306</v>
      </c>
    </row>
    <row r="60" spans="1:7" ht="69.95" customHeight="1">
      <c r="A60" s="6" t="s">
        <v>1463</v>
      </c>
      <c r="B60" s="6" t="s">
        <v>1464</v>
      </c>
      <c r="C60" s="6" t="s">
        <v>1465</v>
      </c>
      <c r="D60" s="6" t="s">
        <v>1466</v>
      </c>
      <c r="E60" s="6" t="s">
        <v>1304</v>
      </c>
      <c r="F60" s="6" t="s">
        <v>1467</v>
      </c>
      <c r="G60" s="6" t="s">
        <v>1306</v>
      </c>
    </row>
    <row r="61" spans="1:7" ht="69.95" customHeight="1">
      <c r="A61" s="6" t="s">
        <v>1463</v>
      </c>
      <c r="B61" s="6" t="s">
        <v>1468</v>
      </c>
      <c r="C61" s="6" t="s">
        <v>1465</v>
      </c>
      <c r="D61" s="6" t="s">
        <v>1466</v>
      </c>
      <c r="E61" s="6" t="s">
        <v>1304</v>
      </c>
      <c r="F61" s="6" t="s">
        <v>1469</v>
      </c>
      <c r="G61" s="6" t="s">
        <v>1306</v>
      </c>
    </row>
    <row r="62" spans="1:7" ht="69.95" customHeight="1">
      <c r="A62" s="6" t="s">
        <v>1463</v>
      </c>
      <c r="B62" s="6" t="s">
        <v>1470</v>
      </c>
      <c r="C62" s="6" t="s">
        <v>1465</v>
      </c>
      <c r="D62" s="6" t="s">
        <v>1466</v>
      </c>
      <c r="E62" s="6" t="s">
        <v>1304</v>
      </c>
      <c r="F62" s="6" t="s">
        <v>1471</v>
      </c>
      <c r="G62" s="6" t="s">
        <v>1306</v>
      </c>
    </row>
    <row r="63" spans="1:7" ht="69.95" customHeight="1">
      <c r="A63" s="6" t="s">
        <v>1463</v>
      </c>
      <c r="B63" s="6" t="s">
        <v>1472</v>
      </c>
      <c r="C63" s="6" t="s">
        <v>1465</v>
      </c>
      <c r="D63" s="6" t="s">
        <v>1466</v>
      </c>
      <c r="E63" s="6" t="s">
        <v>1304</v>
      </c>
      <c r="F63" s="6" t="s">
        <v>1473</v>
      </c>
      <c r="G63" s="6" t="s">
        <v>1306</v>
      </c>
    </row>
    <row r="64" spans="1:7" ht="69.95" customHeight="1">
      <c r="A64" s="6" t="s">
        <v>1463</v>
      </c>
      <c r="B64" s="6" t="s">
        <v>1474</v>
      </c>
      <c r="C64" s="6" t="s">
        <v>1465</v>
      </c>
      <c r="D64" s="6" t="s">
        <v>1466</v>
      </c>
      <c r="E64" s="6" t="s">
        <v>1304</v>
      </c>
      <c r="F64" s="6" t="s">
        <v>1475</v>
      </c>
      <c r="G64" s="6" t="s">
        <v>1306</v>
      </c>
    </row>
    <row r="65" spans="1:7" ht="69.95" customHeight="1">
      <c r="A65" s="6" t="s">
        <v>1463</v>
      </c>
      <c r="B65" s="6" t="s">
        <v>1476</v>
      </c>
      <c r="C65" s="6" t="s">
        <v>1465</v>
      </c>
      <c r="D65" s="6" t="s">
        <v>1466</v>
      </c>
      <c r="E65" s="6" t="s">
        <v>1304</v>
      </c>
      <c r="F65" s="6" t="s">
        <v>1477</v>
      </c>
      <c r="G65" s="6" t="s">
        <v>1306</v>
      </c>
    </row>
    <row r="66" spans="1:7" ht="69.95" customHeight="1">
      <c r="A66" s="6" t="s">
        <v>1463</v>
      </c>
      <c r="B66" s="6" t="s">
        <v>1478</v>
      </c>
      <c r="C66" s="6" t="s">
        <v>1465</v>
      </c>
      <c r="D66" s="6" t="s">
        <v>1466</v>
      </c>
      <c r="E66" s="6" t="s">
        <v>1304</v>
      </c>
      <c r="F66" s="6" t="s">
        <v>1479</v>
      </c>
      <c r="G66" s="6" t="s">
        <v>1306</v>
      </c>
    </row>
    <row r="67" spans="1:7" ht="69.95" customHeight="1">
      <c r="A67" s="6" t="s">
        <v>1463</v>
      </c>
      <c r="B67" s="6" t="s">
        <v>1480</v>
      </c>
      <c r="C67" s="6" t="s">
        <v>1465</v>
      </c>
      <c r="D67" s="6" t="s">
        <v>1466</v>
      </c>
      <c r="E67" s="6" t="s">
        <v>1304</v>
      </c>
      <c r="F67" s="6" t="s">
        <v>1481</v>
      </c>
      <c r="G67" s="6" t="s">
        <v>1306</v>
      </c>
    </row>
    <row r="68" spans="1:7" ht="69.95" customHeight="1">
      <c r="A68" s="6" t="s">
        <v>1463</v>
      </c>
      <c r="B68" s="6" t="s">
        <v>1482</v>
      </c>
      <c r="C68" s="6" t="s">
        <v>1465</v>
      </c>
      <c r="D68" s="6" t="s">
        <v>1466</v>
      </c>
      <c r="E68" s="6" t="s">
        <v>1304</v>
      </c>
      <c r="F68" s="6" t="s">
        <v>1483</v>
      </c>
      <c r="G68" s="6" t="s">
        <v>1306</v>
      </c>
    </row>
    <row r="69" spans="1:7" ht="69.95" customHeight="1">
      <c r="A69" s="6" t="s">
        <v>1463</v>
      </c>
      <c r="B69" s="6" t="s">
        <v>1484</v>
      </c>
      <c r="C69" s="6" t="s">
        <v>1465</v>
      </c>
      <c r="D69" s="6" t="s">
        <v>1466</v>
      </c>
      <c r="E69" s="6" t="s">
        <v>1304</v>
      </c>
      <c r="F69" s="6" t="s">
        <v>1485</v>
      </c>
      <c r="G69" s="6" t="s">
        <v>1306</v>
      </c>
    </row>
    <row r="70" spans="1:7" ht="69.95" customHeight="1">
      <c r="A70" s="6" t="s">
        <v>1463</v>
      </c>
      <c r="B70" s="6" t="s">
        <v>1486</v>
      </c>
      <c r="C70" s="6" t="s">
        <v>1465</v>
      </c>
      <c r="D70" s="6" t="s">
        <v>1466</v>
      </c>
      <c r="E70" s="6" t="s">
        <v>1304</v>
      </c>
      <c r="F70" s="6" t="s">
        <v>1487</v>
      </c>
      <c r="G70" s="6" t="s">
        <v>1306</v>
      </c>
    </row>
    <row r="71" spans="1:7" ht="69.95" customHeight="1">
      <c r="A71" s="6" t="s">
        <v>1488</v>
      </c>
      <c r="B71" s="6" t="s">
        <v>1489</v>
      </c>
      <c r="C71" s="6" t="s">
        <v>1465</v>
      </c>
      <c r="D71" s="6" t="s">
        <v>1466</v>
      </c>
      <c r="E71" s="6" t="s">
        <v>1304</v>
      </c>
      <c r="F71" s="6" t="s">
        <v>1490</v>
      </c>
      <c r="G71" s="6" t="s">
        <v>1306</v>
      </c>
    </row>
    <row r="72" spans="1:7" ht="69.95" customHeight="1">
      <c r="A72" s="6" t="s">
        <v>1491</v>
      </c>
      <c r="B72" s="6" t="s">
        <v>1492</v>
      </c>
      <c r="C72" s="6" t="s">
        <v>1493</v>
      </c>
      <c r="D72" s="6" t="s">
        <v>1303</v>
      </c>
      <c r="E72" s="6" t="s">
        <v>1304</v>
      </c>
      <c r="F72" s="6" t="s">
        <v>1494</v>
      </c>
      <c r="G72" s="6" t="s">
        <v>1306</v>
      </c>
    </row>
    <row r="73" spans="1:7" ht="69.95" customHeight="1">
      <c r="A73" s="6" t="s">
        <v>1491</v>
      </c>
      <c r="B73" s="6" t="s">
        <v>1495</v>
      </c>
      <c r="C73" s="6" t="s">
        <v>1496</v>
      </c>
      <c r="D73" s="6" t="s">
        <v>1303</v>
      </c>
      <c r="E73" s="6" t="s">
        <v>1304</v>
      </c>
      <c r="F73" s="6" t="s">
        <v>1497</v>
      </c>
      <c r="G73" s="6" t="s">
        <v>1306</v>
      </c>
    </row>
    <row r="74" spans="1:7" ht="69.95" customHeight="1">
      <c r="A74" s="6" t="s">
        <v>1491</v>
      </c>
      <c r="B74" s="6" t="s">
        <v>1498</v>
      </c>
      <c r="C74" s="6" t="s">
        <v>1499</v>
      </c>
      <c r="D74" s="6" t="s">
        <v>1303</v>
      </c>
      <c r="E74" s="6" t="s">
        <v>1304</v>
      </c>
      <c r="F74" s="6" t="s">
        <v>1500</v>
      </c>
      <c r="G74" s="6" t="s">
        <v>1306</v>
      </c>
    </row>
    <row r="75" spans="1:7" ht="69.95" customHeight="1">
      <c r="A75" s="6" t="s">
        <v>1491</v>
      </c>
      <c r="B75" s="6" t="s">
        <v>1501</v>
      </c>
      <c r="C75" s="6" t="s">
        <v>1502</v>
      </c>
      <c r="D75" s="6" t="s">
        <v>1303</v>
      </c>
      <c r="E75" s="6" t="s">
        <v>1304</v>
      </c>
      <c r="F75" s="6" t="s">
        <v>1503</v>
      </c>
      <c r="G75" s="6" t="s">
        <v>1306</v>
      </c>
    </row>
    <row r="76" spans="1:7" ht="69.95" customHeight="1">
      <c r="A76" s="6" t="s">
        <v>1491</v>
      </c>
      <c r="B76" s="6" t="s">
        <v>1504</v>
      </c>
      <c r="C76" s="6" t="s">
        <v>1505</v>
      </c>
      <c r="D76" s="6" t="s">
        <v>1303</v>
      </c>
      <c r="E76" s="6" t="s">
        <v>1304</v>
      </c>
      <c r="F76" s="6" t="s">
        <v>1506</v>
      </c>
      <c r="G76" s="6" t="s">
        <v>1306</v>
      </c>
    </row>
    <row r="77" spans="1:7" ht="69.95" customHeight="1">
      <c r="A77" s="6" t="s">
        <v>1491</v>
      </c>
      <c r="B77" s="6" t="s">
        <v>1507</v>
      </c>
      <c r="C77" s="6" t="s">
        <v>1508</v>
      </c>
      <c r="D77" s="6" t="s">
        <v>1303</v>
      </c>
      <c r="E77" s="6" t="s">
        <v>1304</v>
      </c>
      <c r="F77" s="6" t="s">
        <v>1509</v>
      </c>
      <c r="G77" s="6" t="s">
        <v>1306</v>
      </c>
    </row>
    <row r="78" spans="1:7" ht="69.95" customHeight="1">
      <c r="A78" s="6" t="s">
        <v>1491</v>
      </c>
      <c r="B78" s="6" t="s">
        <v>1510</v>
      </c>
      <c r="C78" s="6" t="s">
        <v>1511</v>
      </c>
      <c r="D78" s="6" t="s">
        <v>1303</v>
      </c>
      <c r="E78" s="6" t="s">
        <v>1304</v>
      </c>
      <c r="F78" s="6" t="s">
        <v>1512</v>
      </c>
      <c r="G78" s="6" t="s">
        <v>1306</v>
      </c>
    </row>
    <row r="79" spans="1:7" ht="69.95" customHeight="1">
      <c r="A79" s="6" t="s">
        <v>1491</v>
      </c>
      <c r="B79" s="6" t="s">
        <v>1513</v>
      </c>
      <c r="C79" s="6" t="s">
        <v>1514</v>
      </c>
      <c r="D79" s="6" t="s">
        <v>1303</v>
      </c>
      <c r="E79" s="6" t="s">
        <v>1304</v>
      </c>
      <c r="F79" s="6" t="s">
        <v>1515</v>
      </c>
      <c r="G79" s="6" t="s">
        <v>1306</v>
      </c>
    </row>
    <row r="80" spans="1:7" ht="69.95" customHeight="1">
      <c r="A80" s="6" t="s">
        <v>1491</v>
      </c>
      <c r="B80" s="6" t="s">
        <v>1516</v>
      </c>
      <c r="C80" s="6" t="s">
        <v>1517</v>
      </c>
      <c r="D80" s="6" t="s">
        <v>1303</v>
      </c>
      <c r="E80" s="6" t="s">
        <v>1304</v>
      </c>
      <c r="F80" s="6" t="s">
        <v>1518</v>
      </c>
      <c r="G80" s="6" t="s">
        <v>1306</v>
      </c>
    </row>
    <row r="81" spans="1:7" ht="69.95" customHeight="1">
      <c r="A81" s="6" t="s">
        <v>1491</v>
      </c>
      <c r="B81" s="6" t="s">
        <v>1519</v>
      </c>
      <c r="C81" s="6" t="s">
        <v>1520</v>
      </c>
      <c r="D81" s="6" t="s">
        <v>1303</v>
      </c>
      <c r="E81" s="6" t="s">
        <v>1304</v>
      </c>
      <c r="F81" s="6" t="s">
        <v>1521</v>
      </c>
      <c r="G81" s="6" t="s">
        <v>1306</v>
      </c>
    </row>
    <row r="82" spans="1:7" ht="69.95" customHeight="1">
      <c r="A82" s="6" t="s">
        <v>1491</v>
      </c>
      <c r="B82" s="6" t="s">
        <v>1522</v>
      </c>
      <c r="C82" s="6" t="s">
        <v>1523</v>
      </c>
      <c r="D82" s="6" t="s">
        <v>1303</v>
      </c>
      <c r="E82" s="6" t="s">
        <v>1304</v>
      </c>
      <c r="F82" s="6" t="s">
        <v>1524</v>
      </c>
      <c r="G82" s="6" t="s">
        <v>1306</v>
      </c>
    </row>
    <row r="83" spans="1:7" ht="69.95" customHeight="1">
      <c r="A83" s="6" t="s">
        <v>1491</v>
      </c>
      <c r="B83" s="6" t="s">
        <v>1525</v>
      </c>
      <c r="C83" s="6" t="s">
        <v>1526</v>
      </c>
      <c r="D83" s="6" t="s">
        <v>1303</v>
      </c>
      <c r="E83" s="6" t="s">
        <v>1304</v>
      </c>
      <c r="F83" s="6" t="s">
        <v>1527</v>
      </c>
      <c r="G83" s="6" t="s">
        <v>1306</v>
      </c>
    </row>
    <row r="84" spans="1:7" ht="69.95" customHeight="1">
      <c r="A84" s="6" t="s">
        <v>1491</v>
      </c>
      <c r="B84" s="6" t="s">
        <v>1528</v>
      </c>
      <c r="C84" s="6" t="s">
        <v>1529</v>
      </c>
      <c r="D84" s="6" t="s">
        <v>1303</v>
      </c>
      <c r="E84" s="6" t="s">
        <v>1304</v>
      </c>
      <c r="F84" s="6" t="s">
        <v>1530</v>
      </c>
      <c r="G84" s="6" t="s">
        <v>1306</v>
      </c>
    </row>
    <row r="85" spans="1:7" ht="69.95" customHeight="1">
      <c r="A85" s="6" t="s">
        <v>1531</v>
      </c>
      <c r="B85" s="6" t="s">
        <v>1532</v>
      </c>
      <c r="C85" s="6" t="s">
        <v>1533</v>
      </c>
      <c r="D85" s="6" t="s">
        <v>1303</v>
      </c>
      <c r="E85" s="6" t="s">
        <v>1304</v>
      </c>
      <c r="F85" s="6" t="s">
        <v>1534</v>
      </c>
      <c r="G85" s="6" t="s">
        <v>1306</v>
      </c>
    </row>
    <row r="86" spans="1:7" ht="69.95" customHeight="1">
      <c r="A86" s="6" t="s">
        <v>1535</v>
      </c>
      <c r="B86" s="6" t="s">
        <v>1536</v>
      </c>
      <c r="C86" s="6" t="s">
        <v>1537</v>
      </c>
      <c r="D86" s="6" t="s">
        <v>1303</v>
      </c>
      <c r="E86" s="6" t="s">
        <v>1304</v>
      </c>
      <c r="F86" s="6" t="s">
        <v>1538</v>
      </c>
      <c r="G86" s="6" t="s">
        <v>1306</v>
      </c>
    </row>
    <row r="87" spans="1:7" ht="69.95" customHeight="1">
      <c r="A87" s="6" t="s">
        <v>1535</v>
      </c>
      <c r="B87" s="6" t="s">
        <v>1539</v>
      </c>
      <c r="C87" s="6" t="s">
        <v>1540</v>
      </c>
      <c r="D87" s="6" t="s">
        <v>1303</v>
      </c>
      <c r="E87" s="6" t="s">
        <v>1304</v>
      </c>
      <c r="F87" s="6" t="s">
        <v>1541</v>
      </c>
      <c r="G87" s="6" t="s">
        <v>1306</v>
      </c>
    </row>
    <row r="88" spans="1:7" ht="69.95" customHeight="1">
      <c r="A88" s="6" t="s">
        <v>1535</v>
      </c>
      <c r="B88" s="6" t="s">
        <v>1542</v>
      </c>
      <c r="C88" s="6" t="s">
        <v>1543</v>
      </c>
      <c r="D88" s="6" t="s">
        <v>1303</v>
      </c>
      <c r="E88" s="6" t="s">
        <v>1304</v>
      </c>
      <c r="F88" s="6" t="s">
        <v>1544</v>
      </c>
      <c r="G88" s="6" t="s">
        <v>1306</v>
      </c>
    </row>
    <row r="89" spans="1:7" ht="69.95" customHeight="1">
      <c r="A89" s="6" t="s">
        <v>1535</v>
      </c>
      <c r="B89" s="6" t="s">
        <v>1545</v>
      </c>
      <c r="C89" s="6" t="s">
        <v>1546</v>
      </c>
      <c r="D89" s="6" t="s">
        <v>1303</v>
      </c>
      <c r="E89" s="6" t="s">
        <v>1304</v>
      </c>
      <c r="F89" s="6" t="s">
        <v>1547</v>
      </c>
      <c r="G89" s="6" t="s">
        <v>1306</v>
      </c>
    </row>
    <row r="90" spans="1:7" ht="69.95" customHeight="1">
      <c r="A90" s="6" t="s">
        <v>1535</v>
      </c>
      <c r="B90" s="6" t="s">
        <v>1548</v>
      </c>
      <c r="C90" s="6" t="s">
        <v>1549</v>
      </c>
      <c r="D90" s="6" t="s">
        <v>1303</v>
      </c>
      <c r="E90" s="6" t="s">
        <v>1304</v>
      </c>
      <c r="F90" s="6" t="s">
        <v>1550</v>
      </c>
      <c r="G90" s="6" t="s">
        <v>1306</v>
      </c>
    </row>
    <row r="91" spans="1:7" ht="69.95" customHeight="1">
      <c r="A91" s="6" t="s">
        <v>1535</v>
      </c>
      <c r="B91" s="6" t="s">
        <v>1551</v>
      </c>
      <c r="C91" s="6" t="s">
        <v>1552</v>
      </c>
      <c r="D91" s="6" t="s">
        <v>1303</v>
      </c>
      <c r="E91" s="6" t="s">
        <v>1304</v>
      </c>
      <c r="F91" s="6" t="s">
        <v>1553</v>
      </c>
      <c r="G91" s="6" t="s">
        <v>1306</v>
      </c>
    </row>
    <row r="92" spans="1:7" ht="69.95" customHeight="1">
      <c r="A92" s="6" t="s">
        <v>1535</v>
      </c>
      <c r="B92" s="6" t="s">
        <v>1554</v>
      </c>
      <c r="C92" s="6" t="s">
        <v>1555</v>
      </c>
      <c r="D92" s="6" t="s">
        <v>1303</v>
      </c>
      <c r="E92" s="6" t="s">
        <v>1304</v>
      </c>
      <c r="F92" s="6" t="s">
        <v>1556</v>
      </c>
      <c r="G92" s="6" t="s">
        <v>1306</v>
      </c>
    </row>
    <row r="93" spans="1:7" ht="69.95" customHeight="1">
      <c r="A93" s="6" t="s">
        <v>1535</v>
      </c>
      <c r="B93" s="6" t="s">
        <v>1557</v>
      </c>
      <c r="C93" s="6" t="s">
        <v>1558</v>
      </c>
      <c r="D93" s="6" t="s">
        <v>1303</v>
      </c>
      <c r="E93" s="6" t="s">
        <v>1304</v>
      </c>
      <c r="F93" s="6" t="s">
        <v>1559</v>
      </c>
      <c r="G93" s="6" t="s">
        <v>1306</v>
      </c>
    </row>
    <row r="94" spans="1:7" ht="69.95" customHeight="1">
      <c r="A94" s="6" t="s">
        <v>1535</v>
      </c>
      <c r="B94" s="6" t="s">
        <v>1380</v>
      </c>
      <c r="C94" s="6" t="s">
        <v>1560</v>
      </c>
      <c r="D94" s="6" t="s">
        <v>1303</v>
      </c>
      <c r="E94" s="6" t="s">
        <v>1304</v>
      </c>
      <c r="F94" s="6" t="s">
        <v>1561</v>
      </c>
      <c r="G94" s="6" t="s">
        <v>1306</v>
      </c>
    </row>
    <row r="95" spans="1:7" ht="69.95" customHeight="1">
      <c r="A95" s="6" t="s">
        <v>1535</v>
      </c>
      <c r="B95" s="6" t="s">
        <v>1337</v>
      </c>
      <c r="C95" s="6" t="s">
        <v>1562</v>
      </c>
      <c r="D95" s="6" t="s">
        <v>1303</v>
      </c>
      <c r="E95" s="6" t="s">
        <v>1304</v>
      </c>
      <c r="F95" s="6" t="s">
        <v>1563</v>
      </c>
      <c r="G95" s="6" t="s">
        <v>1306</v>
      </c>
    </row>
    <row r="96" spans="1:7" ht="69.95" customHeight="1">
      <c r="A96" s="6" t="s">
        <v>1535</v>
      </c>
      <c r="B96" s="6" t="s">
        <v>1564</v>
      </c>
      <c r="C96" s="6" t="s">
        <v>1341</v>
      </c>
      <c r="D96" s="6" t="s">
        <v>1303</v>
      </c>
      <c r="E96" s="6" t="s">
        <v>1304</v>
      </c>
      <c r="F96" s="6" t="s">
        <v>1565</v>
      </c>
      <c r="G96" s="6" t="s">
        <v>1306</v>
      </c>
    </row>
    <row r="97" spans="1:7" ht="69.95" customHeight="1">
      <c r="A97" s="6" t="s">
        <v>1535</v>
      </c>
      <c r="B97" s="6" t="s">
        <v>1566</v>
      </c>
      <c r="C97" s="6" t="s">
        <v>1567</v>
      </c>
      <c r="D97" s="6" t="s">
        <v>1303</v>
      </c>
      <c r="E97" s="6" t="s">
        <v>1304</v>
      </c>
      <c r="F97" s="6" t="s">
        <v>1568</v>
      </c>
      <c r="G97" s="6" t="s">
        <v>1306</v>
      </c>
    </row>
    <row r="98" spans="1:7" ht="69.95" customHeight="1">
      <c r="A98" s="6" t="s">
        <v>1535</v>
      </c>
      <c r="B98" s="6" t="s">
        <v>1569</v>
      </c>
      <c r="C98" s="6" t="s">
        <v>1570</v>
      </c>
      <c r="D98" s="6" t="s">
        <v>1303</v>
      </c>
      <c r="E98" s="6" t="s">
        <v>1304</v>
      </c>
      <c r="F98" s="6" t="s">
        <v>1571</v>
      </c>
      <c r="G98" s="6" t="s">
        <v>1306</v>
      </c>
    </row>
    <row r="99" spans="1:7" ht="69.95" customHeight="1">
      <c r="A99" s="6" t="s">
        <v>1572</v>
      </c>
      <c r="B99" s="6" t="s">
        <v>1573</v>
      </c>
      <c r="C99" s="6" t="s">
        <v>1574</v>
      </c>
      <c r="D99" s="6" t="s">
        <v>1303</v>
      </c>
      <c r="E99" s="6" t="s">
        <v>1304</v>
      </c>
      <c r="F99" s="6" t="s">
        <v>1575</v>
      </c>
      <c r="G99" s="6" t="s">
        <v>1306</v>
      </c>
    </row>
    <row r="100" spans="1:7" ht="69.95" customHeight="1">
      <c r="A100" s="6" t="s">
        <v>1572</v>
      </c>
      <c r="B100" s="6" t="s">
        <v>1576</v>
      </c>
      <c r="C100" s="6" t="s">
        <v>1577</v>
      </c>
      <c r="D100" s="6" t="s">
        <v>1303</v>
      </c>
      <c r="E100" s="6" t="s">
        <v>1304</v>
      </c>
      <c r="F100" s="6" t="s">
        <v>1578</v>
      </c>
      <c r="G100" s="6" t="s">
        <v>1306</v>
      </c>
    </row>
    <row r="101" spans="1:7" ht="69.95" customHeight="1">
      <c r="A101" s="6" t="s">
        <v>1572</v>
      </c>
      <c r="B101" s="6" t="s">
        <v>1579</v>
      </c>
      <c r="C101" s="6" t="s">
        <v>1580</v>
      </c>
      <c r="D101" s="6" t="s">
        <v>1303</v>
      </c>
      <c r="E101" s="6" t="s">
        <v>1304</v>
      </c>
      <c r="F101" s="6" t="s">
        <v>1581</v>
      </c>
      <c r="G101" s="6" t="s">
        <v>1306</v>
      </c>
    </row>
    <row r="102" spans="1:7" ht="69.95" customHeight="1">
      <c r="A102" s="6" t="s">
        <v>1572</v>
      </c>
      <c r="B102" s="6" t="s">
        <v>1582</v>
      </c>
      <c r="C102" s="6" t="s">
        <v>1574</v>
      </c>
      <c r="D102" s="6" t="s">
        <v>1303</v>
      </c>
      <c r="E102" s="6" t="s">
        <v>1304</v>
      </c>
      <c r="F102" s="6" t="s">
        <v>1583</v>
      </c>
      <c r="G102" s="6" t="s">
        <v>1306</v>
      </c>
    </row>
    <row r="103" spans="1:7" ht="69.95" customHeight="1">
      <c r="A103" s="6" t="s">
        <v>1572</v>
      </c>
      <c r="B103" s="6" t="s">
        <v>1337</v>
      </c>
      <c r="C103" s="6" t="s">
        <v>1584</v>
      </c>
      <c r="D103" s="6" t="s">
        <v>1303</v>
      </c>
      <c r="E103" s="6" t="s">
        <v>1304</v>
      </c>
      <c r="F103" s="6" t="s">
        <v>1585</v>
      </c>
      <c r="G103" s="6" t="s">
        <v>1306</v>
      </c>
    </row>
    <row r="104" spans="1:7" ht="69.95" customHeight="1">
      <c r="A104" s="6" t="s">
        <v>1572</v>
      </c>
      <c r="B104" s="6" t="s">
        <v>1586</v>
      </c>
      <c r="C104" s="6" t="s">
        <v>1587</v>
      </c>
      <c r="D104" s="6" t="s">
        <v>1303</v>
      </c>
      <c r="E104" s="6" t="s">
        <v>1304</v>
      </c>
      <c r="F104" s="6" t="s">
        <v>1588</v>
      </c>
      <c r="G104" s="6" t="s">
        <v>1306</v>
      </c>
    </row>
    <row r="105" spans="1:7" ht="69.95" customHeight="1">
      <c r="A105" s="6" t="s">
        <v>1572</v>
      </c>
      <c r="B105" s="6" t="s">
        <v>1589</v>
      </c>
      <c r="C105" s="6" t="s">
        <v>1590</v>
      </c>
      <c r="D105" s="6" t="s">
        <v>1303</v>
      </c>
      <c r="E105" s="6" t="s">
        <v>1304</v>
      </c>
      <c r="F105" s="6" t="s">
        <v>1591</v>
      </c>
      <c r="G105" s="6" t="s">
        <v>1306</v>
      </c>
    </row>
    <row r="106" spans="1:7" ht="69.95" customHeight="1">
      <c r="A106" s="6" t="s">
        <v>1572</v>
      </c>
      <c r="B106" s="6" t="s">
        <v>1592</v>
      </c>
      <c r="C106" s="6" t="s">
        <v>1593</v>
      </c>
      <c r="D106" s="6" t="s">
        <v>1303</v>
      </c>
      <c r="E106" s="6" t="s">
        <v>1304</v>
      </c>
      <c r="F106" s="6" t="s">
        <v>1594</v>
      </c>
      <c r="G106" s="6" t="s">
        <v>1306</v>
      </c>
    </row>
    <row r="107" spans="1:7" ht="69.95" customHeight="1">
      <c r="A107" s="6" t="s">
        <v>1572</v>
      </c>
      <c r="B107" s="6" t="s">
        <v>1595</v>
      </c>
      <c r="C107" s="6" t="s">
        <v>1465</v>
      </c>
      <c r="D107" s="6" t="s">
        <v>1303</v>
      </c>
      <c r="E107" s="6" t="s">
        <v>1304</v>
      </c>
      <c r="F107" s="6" t="s">
        <v>1596</v>
      </c>
      <c r="G107" s="6" t="s">
        <v>1306</v>
      </c>
    </row>
    <row r="108" spans="1:7" ht="69.95" customHeight="1">
      <c r="A108" s="6" t="s">
        <v>1572</v>
      </c>
      <c r="B108" s="6" t="s">
        <v>1597</v>
      </c>
      <c r="C108" s="6" t="s">
        <v>1465</v>
      </c>
      <c r="D108" s="6" t="s">
        <v>1303</v>
      </c>
      <c r="E108" s="6" t="s">
        <v>1304</v>
      </c>
      <c r="F108" s="6" t="s">
        <v>1598</v>
      </c>
      <c r="G108" s="6" t="s">
        <v>1306</v>
      </c>
    </row>
    <row r="109" spans="1:7" ht="69.95" customHeight="1">
      <c r="A109" s="6" t="s">
        <v>1572</v>
      </c>
      <c r="B109" s="6" t="s">
        <v>1599</v>
      </c>
      <c r="C109" s="6" t="s">
        <v>1465</v>
      </c>
      <c r="D109" s="6" t="s">
        <v>1303</v>
      </c>
      <c r="E109" s="6" t="s">
        <v>1304</v>
      </c>
      <c r="F109" s="6" t="s">
        <v>1600</v>
      </c>
      <c r="G109" s="6" t="s">
        <v>1306</v>
      </c>
    </row>
    <row r="110" spans="1:7" ht="69.95" customHeight="1">
      <c r="A110" s="6" t="s">
        <v>1572</v>
      </c>
      <c r="B110" s="6" t="s">
        <v>1601</v>
      </c>
      <c r="C110" s="6" t="s">
        <v>1465</v>
      </c>
      <c r="D110" s="6" t="s">
        <v>1303</v>
      </c>
      <c r="E110" s="6" t="s">
        <v>1304</v>
      </c>
      <c r="F110" s="6" t="s">
        <v>1602</v>
      </c>
      <c r="G110" s="6" t="s">
        <v>1306</v>
      </c>
    </row>
    <row r="111" spans="1:7" ht="69.95" customHeight="1">
      <c r="A111" s="6" t="s">
        <v>1572</v>
      </c>
      <c r="B111" s="6" t="s">
        <v>1603</v>
      </c>
      <c r="C111" s="6" t="s">
        <v>1465</v>
      </c>
      <c r="D111" s="6" t="s">
        <v>1303</v>
      </c>
      <c r="E111" s="6" t="s">
        <v>1304</v>
      </c>
      <c r="F111" s="6" t="s">
        <v>1604</v>
      </c>
      <c r="G111" s="6" t="s">
        <v>1306</v>
      </c>
    </row>
    <row r="112" spans="1:7" ht="69.95" customHeight="1">
      <c r="A112" s="6" t="s">
        <v>1572</v>
      </c>
      <c r="B112" s="6" t="s">
        <v>1605</v>
      </c>
      <c r="C112" s="6" t="s">
        <v>1465</v>
      </c>
      <c r="D112" s="6" t="s">
        <v>1303</v>
      </c>
      <c r="E112" s="6" t="s">
        <v>1304</v>
      </c>
      <c r="F112" s="6" t="s">
        <v>1606</v>
      </c>
      <c r="G112" s="6" t="s">
        <v>1306</v>
      </c>
    </row>
    <row r="113" spans="1:7" ht="69.95" customHeight="1">
      <c r="A113" s="6" t="s">
        <v>1572</v>
      </c>
      <c r="B113" s="6" t="s">
        <v>1607</v>
      </c>
      <c r="C113" s="6" t="s">
        <v>1465</v>
      </c>
      <c r="D113" s="6" t="s">
        <v>1303</v>
      </c>
      <c r="E113" s="6" t="s">
        <v>1304</v>
      </c>
      <c r="F113" s="6" t="s">
        <v>1608</v>
      </c>
      <c r="G113" s="6" t="s">
        <v>1306</v>
      </c>
    </row>
    <row r="114" spans="1:7" ht="69.95" customHeight="1">
      <c r="A114" s="6" t="s">
        <v>1572</v>
      </c>
      <c r="B114" s="6" t="s">
        <v>1609</v>
      </c>
      <c r="C114" s="6" t="s">
        <v>1465</v>
      </c>
      <c r="D114" s="6" t="s">
        <v>1303</v>
      </c>
      <c r="E114" s="6" t="s">
        <v>1304</v>
      </c>
      <c r="F114" s="6" t="s">
        <v>1610</v>
      </c>
      <c r="G114" s="6" t="s">
        <v>1306</v>
      </c>
    </row>
    <row r="115" spans="1:7" ht="69.95" customHeight="1">
      <c r="A115" s="6" t="s">
        <v>1611</v>
      </c>
      <c r="B115" s="6" t="s">
        <v>1612</v>
      </c>
      <c r="C115" s="6" t="s">
        <v>1613</v>
      </c>
      <c r="D115" s="6" t="s">
        <v>1303</v>
      </c>
      <c r="E115" s="6" t="s">
        <v>1304</v>
      </c>
      <c r="F115" s="6" t="s">
        <v>1614</v>
      </c>
      <c r="G115" s="6" t="s">
        <v>1306</v>
      </c>
    </row>
    <row r="116" spans="1:7" ht="69.95" customHeight="1">
      <c r="A116" s="6" t="s">
        <v>1611</v>
      </c>
      <c r="B116" s="6" t="s">
        <v>1615</v>
      </c>
      <c r="C116" s="6" t="s">
        <v>1616</v>
      </c>
      <c r="D116" s="6" t="s">
        <v>1303</v>
      </c>
      <c r="E116" s="6" t="s">
        <v>1304</v>
      </c>
      <c r="F116" s="6" t="s">
        <v>1617</v>
      </c>
      <c r="G116" s="6" t="s">
        <v>1306</v>
      </c>
    </row>
    <row r="117" spans="1:7" ht="69.95" customHeight="1">
      <c r="A117" s="6" t="s">
        <v>1611</v>
      </c>
      <c r="B117" s="6" t="s">
        <v>1618</v>
      </c>
      <c r="C117" s="6" t="s">
        <v>1619</v>
      </c>
      <c r="D117" s="6" t="s">
        <v>1303</v>
      </c>
      <c r="E117" s="6" t="s">
        <v>1304</v>
      </c>
      <c r="F117" s="6" t="s">
        <v>1620</v>
      </c>
      <c r="G117" s="6" t="s">
        <v>1306</v>
      </c>
    </row>
    <row r="118" spans="1:7" ht="69.95" customHeight="1">
      <c r="A118" s="6" t="s">
        <v>1611</v>
      </c>
      <c r="B118" s="6" t="s">
        <v>1621</v>
      </c>
      <c r="C118" s="6" t="s">
        <v>1622</v>
      </c>
      <c r="D118" s="6" t="s">
        <v>1303</v>
      </c>
      <c r="E118" s="6" t="s">
        <v>1304</v>
      </c>
      <c r="F118" s="6" t="s">
        <v>1623</v>
      </c>
      <c r="G118" s="6" t="s">
        <v>1306</v>
      </c>
    </row>
    <row r="119" spans="1:7" ht="69.95" customHeight="1">
      <c r="A119" s="6" t="s">
        <v>1611</v>
      </c>
      <c r="B119" s="6" t="s">
        <v>1624</v>
      </c>
      <c r="C119" s="6" t="s">
        <v>1625</v>
      </c>
      <c r="D119" s="6" t="s">
        <v>1303</v>
      </c>
      <c r="E119" s="6" t="s">
        <v>1304</v>
      </c>
      <c r="F119" s="6" t="s">
        <v>1626</v>
      </c>
      <c r="G119" s="6" t="s">
        <v>1306</v>
      </c>
    </row>
    <row r="120" spans="1:7" ht="69.95" customHeight="1">
      <c r="A120" s="6" t="s">
        <v>1611</v>
      </c>
      <c r="B120" s="6" t="s">
        <v>1627</v>
      </c>
      <c r="C120" s="6" t="s">
        <v>1628</v>
      </c>
      <c r="D120" s="6" t="s">
        <v>1303</v>
      </c>
      <c r="E120" s="6" t="s">
        <v>1304</v>
      </c>
      <c r="F120" s="6" t="s">
        <v>1629</v>
      </c>
      <c r="G120" s="6" t="s">
        <v>1306</v>
      </c>
    </row>
    <row r="121" spans="1:7" ht="69.95" customHeight="1">
      <c r="A121" s="6" t="s">
        <v>1611</v>
      </c>
      <c r="B121" s="6" t="s">
        <v>1630</v>
      </c>
      <c r="C121" s="6" t="s">
        <v>1631</v>
      </c>
      <c r="D121" s="6" t="s">
        <v>1303</v>
      </c>
      <c r="E121" s="6" t="s">
        <v>1304</v>
      </c>
      <c r="F121" s="6" t="s">
        <v>1632</v>
      </c>
      <c r="G121" s="6" t="s">
        <v>1306</v>
      </c>
    </row>
    <row r="122" spans="1:7" ht="69.95" customHeight="1">
      <c r="A122" s="6" t="s">
        <v>1611</v>
      </c>
      <c r="B122" s="6" t="s">
        <v>1633</v>
      </c>
      <c r="C122" s="6" t="s">
        <v>1634</v>
      </c>
      <c r="D122" s="6" t="s">
        <v>1303</v>
      </c>
      <c r="E122" s="6" t="s">
        <v>1304</v>
      </c>
      <c r="F122" s="6" t="s">
        <v>1635</v>
      </c>
      <c r="G122" s="6" t="s">
        <v>1306</v>
      </c>
    </row>
    <row r="123" spans="1:7" ht="69.95" customHeight="1">
      <c r="A123" s="6" t="s">
        <v>1611</v>
      </c>
      <c r="B123" s="6" t="s">
        <v>1636</v>
      </c>
      <c r="C123" s="6" t="s">
        <v>1637</v>
      </c>
      <c r="D123" s="6" t="s">
        <v>1303</v>
      </c>
      <c r="E123" s="6" t="s">
        <v>1304</v>
      </c>
      <c r="F123" s="6" t="s">
        <v>1638</v>
      </c>
      <c r="G123" s="6" t="s">
        <v>1306</v>
      </c>
    </row>
    <row r="124" spans="1:7" ht="69.95" customHeight="1">
      <c r="A124" s="6" t="s">
        <v>1611</v>
      </c>
      <c r="B124" s="6" t="s">
        <v>1639</v>
      </c>
      <c r="C124" s="6" t="s">
        <v>1640</v>
      </c>
      <c r="D124" s="6" t="s">
        <v>1303</v>
      </c>
      <c r="E124" s="6" t="s">
        <v>1304</v>
      </c>
      <c r="F124" s="6" t="s">
        <v>1641</v>
      </c>
      <c r="G124" s="6" t="s">
        <v>1306</v>
      </c>
    </row>
    <row r="125" spans="1:7" ht="69.95" customHeight="1">
      <c r="A125" s="6" t="s">
        <v>1611</v>
      </c>
      <c r="B125" s="6" t="s">
        <v>1595</v>
      </c>
      <c r="C125" s="6" t="s">
        <v>1465</v>
      </c>
      <c r="D125" s="6" t="s">
        <v>1303</v>
      </c>
      <c r="E125" s="6" t="s">
        <v>1304</v>
      </c>
      <c r="F125" s="6" t="s">
        <v>1642</v>
      </c>
      <c r="G125" s="6" t="s">
        <v>1306</v>
      </c>
    </row>
    <row r="126" spans="1:7" ht="69.95" customHeight="1">
      <c r="A126" s="6" t="s">
        <v>1611</v>
      </c>
      <c r="B126" s="6" t="s">
        <v>1597</v>
      </c>
      <c r="C126" s="6" t="s">
        <v>1465</v>
      </c>
      <c r="D126" s="6" t="s">
        <v>1303</v>
      </c>
      <c r="E126" s="6" t="s">
        <v>1304</v>
      </c>
      <c r="F126" s="6" t="s">
        <v>1643</v>
      </c>
      <c r="G126" s="6" t="s">
        <v>1306</v>
      </c>
    </row>
    <row r="127" spans="1:7" ht="69.95" customHeight="1">
      <c r="A127" s="6" t="s">
        <v>1611</v>
      </c>
      <c r="B127" s="6" t="s">
        <v>1599</v>
      </c>
      <c r="C127" s="6" t="s">
        <v>1465</v>
      </c>
      <c r="D127" s="6" t="s">
        <v>1303</v>
      </c>
      <c r="E127" s="6" t="s">
        <v>1304</v>
      </c>
      <c r="F127" s="6" t="s">
        <v>1644</v>
      </c>
      <c r="G127" s="6" t="s">
        <v>1306</v>
      </c>
    </row>
    <row r="128" spans="1:7" ht="69.95" customHeight="1">
      <c r="A128" s="6" t="s">
        <v>1611</v>
      </c>
      <c r="B128" s="6" t="s">
        <v>1601</v>
      </c>
      <c r="C128" s="6" t="s">
        <v>1465</v>
      </c>
      <c r="D128" s="6" t="s">
        <v>1303</v>
      </c>
      <c r="E128" s="6" t="s">
        <v>1304</v>
      </c>
      <c r="F128" s="6" t="s">
        <v>1645</v>
      </c>
      <c r="G128" s="6" t="s">
        <v>1306</v>
      </c>
    </row>
    <row r="129" spans="1:7" ht="69.95" customHeight="1">
      <c r="A129" s="6" t="s">
        <v>1611</v>
      </c>
      <c r="B129" s="6" t="s">
        <v>1603</v>
      </c>
      <c r="C129" s="6" t="s">
        <v>1465</v>
      </c>
      <c r="D129" s="6" t="s">
        <v>1303</v>
      </c>
      <c r="E129" s="6" t="s">
        <v>1304</v>
      </c>
      <c r="F129" s="6" t="s">
        <v>1646</v>
      </c>
      <c r="G129" s="6" t="s">
        <v>1306</v>
      </c>
    </row>
    <row r="130" spans="1:7" ht="69.95" customHeight="1">
      <c r="A130" s="6" t="s">
        <v>1611</v>
      </c>
      <c r="B130" s="6" t="s">
        <v>1605</v>
      </c>
      <c r="C130" s="6" t="s">
        <v>1465</v>
      </c>
      <c r="D130" s="6" t="s">
        <v>1303</v>
      </c>
      <c r="E130" s="6" t="s">
        <v>1304</v>
      </c>
      <c r="F130" s="6" t="s">
        <v>1647</v>
      </c>
      <c r="G130" s="6" t="s">
        <v>1306</v>
      </c>
    </row>
    <row r="131" spans="1:7" ht="69.95" customHeight="1">
      <c r="A131" s="6" t="s">
        <v>1611</v>
      </c>
      <c r="B131" s="6" t="s">
        <v>1607</v>
      </c>
      <c r="C131" s="6" t="s">
        <v>1465</v>
      </c>
      <c r="D131" s="6" t="s">
        <v>1303</v>
      </c>
      <c r="E131" s="6" t="s">
        <v>1304</v>
      </c>
      <c r="F131" s="6" t="s">
        <v>1648</v>
      </c>
      <c r="G131" s="6" t="s">
        <v>1306</v>
      </c>
    </row>
    <row r="132" spans="1:7" ht="69.95" customHeight="1">
      <c r="A132" s="6" t="s">
        <v>1611</v>
      </c>
      <c r="B132" s="6" t="s">
        <v>1609</v>
      </c>
      <c r="C132" s="6" t="s">
        <v>1465</v>
      </c>
      <c r="D132" s="6" t="s">
        <v>1303</v>
      </c>
      <c r="E132" s="6" t="s">
        <v>1304</v>
      </c>
      <c r="F132" s="6" t="s">
        <v>1649</v>
      </c>
      <c r="G132" s="6" t="s">
        <v>1306</v>
      </c>
    </row>
    <row r="133" spans="1:7" ht="69.95" customHeight="1">
      <c r="A133" s="6" t="s">
        <v>1650</v>
      </c>
      <c r="B133" s="6" t="s">
        <v>1651</v>
      </c>
      <c r="C133" s="6" t="s">
        <v>1652</v>
      </c>
      <c r="D133" s="6" t="s">
        <v>1303</v>
      </c>
      <c r="E133" s="6" t="s">
        <v>1304</v>
      </c>
      <c r="F133" s="6" t="s">
        <v>1653</v>
      </c>
      <c r="G133" s="6" t="s">
        <v>1306</v>
      </c>
    </row>
    <row r="134" spans="1:7" ht="69.95" customHeight="1">
      <c r="A134" s="6" t="s">
        <v>1650</v>
      </c>
      <c r="B134" s="6" t="s">
        <v>1654</v>
      </c>
      <c r="C134" s="6" t="s">
        <v>1655</v>
      </c>
      <c r="D134" s="6" t="s">
        <v>1303</v>
      </c>
      <c r="E134" s="6" t="s">
        <v>1304</v>
      </c>
      <c r="F134" s="6" t="s">
        <v>1656</v>
      </c>
      <c r="G134" s="6" t="s">
        <v>1306</v>
      </c>
    </row>
    <row r="135" spans="1:7" ht="69.95" customHeight="1">
      <c r="A135" s="6" t="s">
        <v>1650</v>
      </c>
      <c r="B135" s="6" t="s">
        <v>1657</v>
      </c>
      <c r="C135" s="6" t="s">
        <v>1658</v>
      </c>
      <c r="D135" s="6" t="s">
        <v>1303</v>
      </c>
      <c r="E135" s="6" t="s">
        <v>1304</v>
      </c>
      <c r="F135" s="6" t="s">
        <v>1659</v>
      </c>
      <c r="G135" s="6" t="s">
        <v>1306</v>
      </c>
    </row>
    <row r="136" spans="1:7" ht="69.95" customHeight="1">
      <c r="A136" s="6" t="s">
        <v>1650</v>
      </c>
      <c r="B136" s="6" t="s">
        <v>1660</v>
      </c>
      <c r="C136" s="6" t="s">
        <v>1661</v>
      </c>
      <c r="D136" s="6" t="s">
        <v>1303</v>
      </c>
      <c r="E136" s="6" t="s">
        <v>1304</v>
      </c>
      <c r="F136" s="6" t="s">
        <v>1662</v>
      </c>
      <c r="G136" s="6" t="s">
        <v>1306</v>
      </c>
    </row>
    <row r="137" spans="1:7" ht="69.95" customHeight="1">
      <c r="A137" s="6" t="s">
        <v>1650</v>
      </c>
      <c r="B137" s="6" t="s">
        <v>1663</v>
      </c>
      <c r="C137" s="6" t="s">
        <v>1664</v>
      </c>
      <c r="D137" s="6" t="s">
        <v>1303</v>
      </c>
      <c r="E137" s="6" t="s">
        <v>1304</v>
      </c>
      <c r="F137" s="6" t="s">
        <v>1665</v>
      </c>
      <c r="G137" s="6" t="s">
        <v>1306</v>
      </c>
    </row>
    <row r="138" spans="1:7" ht="69.95" customHeight="1">
      <c r="A138" s="6" t="s">
        <v>1650</v>
      </c>
      <c r="B138" s="6" t="s">
        <v>1666</v>
      </c>
      <c r="C138" s="6" t="s">
        <v>1667</v>
      </c>
      <c r="D138" s="6" t="s">
        <v>1303</v>
      </c>
      <c r="E138" s="6" t="s">
        <v>1304</v>
      </c>
      <c r="F138" s="6" t="s">
        <v>1668</v>
      </c>
      <c r="G138" s="6" t="s">
        <v>1306</v>
      </c>
    </row>
    <row r="139" spans="1:7" ht="69.95" customHeight="1">
      <c r="A139" s="6" t="s">
        <v>1650</v>
      </c>
      <c r="B139" s="6" t="s">
        <v>1669</v>
      </c>
      <c r="C139" s="6" t="s">
        <v>1670</v>
      </c>
      <c r="D139" s="6" t="s">
        <v>1303</v>
      </c>
      <c r="E139" s="6" t="s">
        <v>1304</v>
      </c>
      <c r="F139" s="6" t="s">
        <v>1671</v>
      </c>
      <c r="G139" s="6" t="s">
        <v>1306</v>
      </c>
    </row>
    <row r="140" spans="1:7" ht="69.95" customHeight="1">
      <c r="A140" s="6" t="s">
        <v>1650</v>
      </c>
      <c r="B140" s="6" t="s">
        <v>1672</v>
      </c>
      <c r="C140" s="6" t="s">
        <v>1673</v>
      </c>
      <c r="D140" s="6" t="s">
        <v>1303</v>
      </c>
      <c r="E140" s="6" t="s">
        <v>1304</v>
      </c>
      <c r="F140" s="6" t="s">
        <v>1674</v>
      </c>
      <c r="G140" s="6" t="s">
        <v>1306</v>
      </c>
    </row>
    <row r="141" spans="1:7" ht="69.95" customHeight="1">
      <c r="A141" s="6" t="s">
        <v>1650</v>
      </c>
      <c r="B141" s="6" t="s">
        <v>1675</v>
      </c>
      <c r="C141" s="6" t="s">
        <v>1676</v>
      </c>
      <c r="D141" s="6" t="s">
        <v>1303</v>
      </c>
      <c r="E141" s="6" t="s">
        <v>1304</v>
      </c>
      <c r="F141" s="6" t="s">
        <v>1677</v>
      </c>
      <c r="G141" s="6" t="s">
        <v>1306</v>
      </c>
    </row>
    <row r="142" spans="1:7" ht="69.95" customHeight="1">
      <c r="A142" s="6" t="s">
        <v>1650</v>
      </c>
      <c r="B142" s="6" t="s">
        <v>1595</v>
      </c>
      <c r="C142" s="6" t="s">
        <v>1465</v>
      </c>
      <c r="D142" s="6" t="s">
        <v>1303</v>
      </c>
      <c r="E142" s="6" t="s">
        <v>1304</v>
      </c>
      <c r="F142" s="6" t="s">
        <v>1678</v>
      </c>
      <c r="G142" s="6" t="s">
        <v>1306</v>
      </c>
    </row>
    <row r="143" spans="1:7" ht="69.95" customHeight="1">
      <c r="A143" s="6" t="s">
        <v>1650</v>
      </c>
      <c r="B143" s="6" t="s">
        <v>1597</v>
      </c>
      <c r="C143" s="6" t="s">
        <v>1465</v>
      </c>
      <c r="D143" s="6" t="s">
        <v>1303</v>
      </c>
      <c r="E143" s="6" t="s">
        <v>1304</v>
      </c>
      <c r="F143" s="6" t="s">
        <v>1679</v>
      </c>
      <c r="G143" s="6" t="s">
        <v>1306</v>
      </c>
    </row>
    <row r="144" spans="1:7" ht="69.95" customHeight="1">
      <c r="A144" s="6" t="s">
        <v>1650</v>
      </c>
      <c r="B144" s="6" t="s">
        <v>1599</v>
      </c>
      <c r="C144" s="6" t="s">
        <v>1465</v>
      </c>
      <c r="D144" s="6" t="s">
        <v>1303</v>
      </c>
      <c r="E144" s="6" t="s">
        <v>1304</v>
      </c>
      <c r="F144" s="6" t="s">
        <v>1680</v>
      </c>
      <c r="G144" s="6" t="s">
        <v>1306</v>
      </c>
    </row>
    <row r="145" spans="1:7" ht="69.95" customHeight="1">
      <c r="A145" s="6" t="s">
        <v>1650</v>
      </c>
      <c r="B145" s="6" t="s">
        <v>1601</v>
      </c>
      <c r="C145" s="6" t="s">
        <v>1465</v>
      </c>
      <c r="D145" s="6" t="s">
        <v>1303</v>
      </c>
      <c r="E145" s="6" t="s">
        <v>1304</v>
      </c>
      <c r="F145" s="6" t="s">
        <v>1681</v>
      </c>
      <c r="G145" s="6" t="s">
        <v>1306</v>
      </c>
    </row>
    <row r="146" spans="1:7" ht="69.95" customHeight="1">
      <c r="A146" s="6" t="s">
        <v>1650</v>
      </c>
      <c r="B146" s="6" t="s">
        <v>1603</v>
      </c>
      <c r="C146" s="6" t="s">
        <v>1465</v>
      </c>
      <c r="D146" s="6" t="s">
        <v>1303</v>
      </c>
      <c r="E146" s="6" t="s">
        <v>1304</v>
      </c>
      <c r="F146" s="6" t="s">
        <v>1682</v>
      </c>
      <c r="G146" s="6" t="s">
        <v>1306</v>
      </c>
    </row>
    <row r="147" spans="1:7" ht="69.95" customHeight="1">
      <c r="A147" s="6" t="s">
        <v>1650</v>
      </c>
      <c r="B147" s="6" t="s">
        <v>1605</v>
      </c>
      <c r="C147" s="6" t="s">
        <v>1465</v>
      </c>
      <c r="D147" s="6" t="s">
        <v>1303</v>
      </c>
      <c r="E147" s="6" t="s">
        <v>1304</v>
      </c>
      <c r="F147" s="6" t="s">
        <v>1683</v>
      </c>
      <c r="G147" s="6" t="s">
        <v>1306</v>
      </c>
    </row>
    <row r="148" spans="1:7" ht="69.95" customHeight="1">
      <c r="A148" s="6" t="s">
        <v>1650</v>
      </c>
      <c r="B148" s="6" t="s">
        <v>1607</v>
      </c>
      <c r="C148" s="6" t="s">
        <v>1465</v>
      </c>
      <c r="D148" s="6" t="s">
        <v>1303</v>
      </c>
      <c r="E148" s="6" t="s">
        <v>1304</v>
      </c>
      <c r="F148" s="6" t="s">
        <v>1684</v>
      </c>
      <c r="G148" s="6" t="s">
        <v>1306</v>
      </c>
    </row>
    <row r="149" spans="1:7" ht="69.95" customHeight="1">
      <c r="A149" s="6" t="s">
        <v>1650</v>
      </c>
      <c r="B149" s="6" t="s">
        <v>1609</v>
      </c>
      <c r="C149" s="6" t="s">
        <v>1465</v>
      </c>
      <c r="D149" s="6" t="s">
        <v>1303</v>
      </c>
      <c r="E149" s="6" t="s">
        <v>1304</v>
      </c>
      <c r="F149" s="6" t="s">
        <v>1685</v>
      </c>
      <c r="G149" s="6" t="s">
        <v>1306</v>
      </c>
    </row>
    <row r="150" spans="1:7" ht="69.95" customHeight="1">
      <c r="A150" s="6" t="s">
        <v>1686</v>
      </c>
      <c r="B150" s="6" t="s">
        <v>1687</v>
      </c>
      <c r="C150" s="6" t="s">
        <v>1465</v>
      </c>
      <c r="D150" s="6" t="s">
        <v>1466</v>
      </c>
      <c r="E150" s="6" t="s">
        <v>1304</v>
      </c>
      <c r="F150" s="6" t="s">
        <v>1688</v>
      </c>
      <c r="G150" s="6" t="s">
        <v>1306</v>
      </c>
    </row>
    <row r="151" spans="1:7" ht="69.95" customHeight="1">
      <c r="A151" s="6" t="s">
        <v>1686</v>
      </c>
      <c r="B151" s="6" t="s">
        <v>1464</v>
      </c>
      <c r="C151" s="6" t="s">
        <v>1465</v>
      </c>
      <c r="D151" s="6" t="s">
        <v>1466</v>
      </c>
      <c r="E151" s="6" t="s">
        <v>1304</v>
      </c>
      <c r="F151" s="6" t="s">
        <v>1689</v>
      </c>
      <c r="G151" s="6" t="s">
        <v>1306</v>
      </c>
    </row>
    <row r="152" spans="1:7" ht="69.95" customHeight="1">
      <c r="A152" s="6" t="s">
        <v>1686</v>
      </c>
      <c r="B152" s="6" t="s">
        <v>1468</v>
      </c>
      <c r="C152" s="6" t="s">
        <v>1465</v>
      </c>
      <c r="D152" s="6" t="s">
        <v>1466</v>
      </c>
      <c r="E152" s="6" t="s">
        <v>1304</v>
      </c>
      <c r="F152" s="6" t="s">
        <v>1690</v>
      </c>
      <c r="G152" s="6" t="s">
        <v>1306</v>
      </c>
    </row>
    <row r="153" spans="1:7" ht="69.95" customHeight="1">
      <c r="A153" s="6" t="s">
        <v>1686</v>
      </c>
      <c r="B153" s="6" t="s">
        <v>1470</v>
      </c>
      <c r="C153" s="6" t="s">
        <v>1465</v>
      </c>
      <c r="D153" s="6" t="s">
        <v>1466</v>
      </c>
      <c r="E153" s="6" t="s">
        <v>1304</v>
      </c>
      <c r="F153" s="6" t="s">
        <v>1691</v>
      </c>
      <c r="G153" s="6" t="s">
        <v>1306</v>
      </c>
    </row>
    <row r="154" spans="1:7" ht="69.95" customHeight="1">
      <c r="A154" s="6" t="s">
        <v>1686</v>
      </c>
      <c r="B154" s="6" t="s">
        <v>1472</v>
      </c>
      <c r="C154" s="6" t="s">
        <v>1465</v>
      </c>
      <c r="D154" s="6" t="s">
        <v>1466</v>
      </c>
      <c r="E154" s="6" t="s">
        <v>1304</v>
      </c>
      <c r="F154" s="6" t="s">
        <v>1692</v>
      </c>
      <c r="G154" s="6" t="s">
        <v>1306</v>
      </c>
    </row>
    <row r="155" spans="1:7" ht="69.95" customHeight="1">
      <c r="A155" s="6" t="s">
        <v>1686</v>
      </c>
      <c r="B155" s="6" t="s">
        <v>1693</v>
      </c>
      <c r="C155" s="6" t="s">
        <v>1465</v>
      </c>
      <c r="D155" s="6" t="s">
        <v>1466</v>
      </c>
      <c r="E155" s="6" t="s">
        <v>1304</v>
      </c>
      <c r="F155" s="6" t="s">
        <v>1694</v>
      </c>
      <c r="G155" s="6" t="s">
        <v>1306</v>
      </c>
    </row>
    <row r="156" spans="1:7" ht="69.95" customHeight="1">
      <c r="A156" s="6" t="s">
        <v>1686</v>
      </c>
      <c r="B156" s="6" t="s">
        <v>1695</v>
      </c>
      <c r="C156" s="6" t="s">
        <v>1465</v>
      </c>
      <c r="D156" s="6" t="s">
        <v>1466</v>
      </c>
      <c r="E156" s="6" t="s">
        <v>1304</v>
      </c>
      <c r="F156" s="6" t="s">
        <v>1696</v>
      </c>
      <c r="G156" s="6" t="s">
        <v>1306</v>
      </c>
    </row>
    <row r="157" spans="1:7" ht="69.95" customHeight="1">
      <c r="A157" s="6" t="s">
        <v>1686</v>
      </c>
      <c r="B157" s="6" t="s">
        <v>1697</v>
      </c>
      <c r="C157" s="6" t="s">
        <v>1465</v>
      </c>
      <c r="D157" s="6" t="s">
        <v>1466</v>
      </c>
      <c r="E157" s="6" t="s">
        <v>1304</v>
      </c>
      <c r="F157" s="6" t="s">
        <v>1698</v>
      </c>
      <c r="G157" s="6" t="s">
        <v>1306</v>
      </c>
    </row>
    <row r="158" spans="1:7" ht="69.95" customHeight="1">
      <c r="A158" s="6" t="s">
        <v>1686</v>
      </c>
      <c r="B158" s="6" t="s">
        <v>1699</v>
      </c>
      <c r="C158" s="6" t="s">
        <v>1465</v>
      </c>
      <c r="D158" s="6" t="s">
        <v>1466</v>
      </c>
      <c r="E158" s="6" t="s">
        <v>1304</v>
      </c>
      <c r="F158" s="6" t="s">
        <v>1700</v>
      </c>
      <c r="G158" s="6" t="s">
        <v>1306</v>
      </c>
    </row>
    <row r="159" spans="1:7" ht="69.95" customHeight="1">
      <c r="A159" s="6" t="s">
        <v>1686</v>
      </c>
      <c r="B159" s="6" t="s">
        <v>1701</v>
      </c>
      <c r="C159" s="6" t="s">
        <v>1465</v>
      </c>
      <c r="D159" s="6" t="s">
        <v>1466</v>
      </c>
      <c r="E159" s="6" t="s">
        <v>1304</v>
      </c>
      <c r="F159" s="6" t="s">
        <v>1702</v>
      </c>
      <c r="G159" s="6" t="s">
        <v>1306</v>
      </c>
    </row>
    <row r="160" spans="1:7" ht="69.95" customHeight="1">
      <c r="A160" s="6" t="s">
        <v>1686</v>
      </c>
      <c r="B160" s="6" t="s">
        <v>1474</v>
      </c>
      <c r="C160" s="6" t="s">
        <v>1465</v>
      </c>
      <c r="D160" s="6" t="s">
        <v>1466</v>
      </c>
      <c r="E160" s="6" t="s">
        <v>1304</v>
      </c>
      <c r="F160" s="6" t="s">
        <v>1703</v>
      </c>
      <c r="G160" s="6" t="s">
        <v>1306</v>
      </c>
    </row>
    <row r="161" spans="1:7" ht="69.95" customHeight="1">
      <c r="A161" s="6" t="s">
        <v>1686</v>
      </c>
      <c r="B161" s="6" t="s">
        <v>1476</v>
      </c>
      <c r="C161" s="6" t="s">
        <v>1465</v>
      </c>
      <c r="D161" s="6" t="s">
        <v>1466</v>
      </c>
      <c r="E161" s="6" t="s">
        <v>1304</v>
      </c>
      <c r="F161" s="6" t="s">
        <v>1704</v>
      </c>
      <c r="G161" s="6" t="s">
        <v>1306</v>
      </c>
    </row>
    <row r="162" spans="1:7" ht="69.95" customHeight="1">
      <c r="A162" s="6" t="s">
        <v>1686</v>
      </c>
      <c r="B162" s="6" t="s">
        <v>1478</v>
      </c>
      <c r="C162" s="6" t="s">
        <v>1465</v>
      </c>
      <c r="D162" s="6" t="s">
        <v>1466</v>
      </c>
      <c r="E162" s="6" t="s">
        <v>1304</v>
      </c>
      <c r="F162" s="6" t="s">
        <v>1705</v>
      </c>
      <c r="G162" s="6" t="s">
        <v>1306</v>
      </c>
    </row>
    <row r="163" spans="1:7" ht="69.95" customHeight="1">
      <c r="A163" s="6" t="s">
        <v>1686</v>
      </c>
      <c r="B163" s="6" t="s">
        <v>1480</v>
      </c>
      <c r="C163" s="6" t="s">
        <v>1465</v>
      </c>
      <c r="D163" s="6" t="s">
        <v>1466</v>
      </c>
      <c r="E163" s="6" t="s">
        <v>1304</v>
      </c>
      <c r="F163" s="6" t="s">
        <v>1706</v>
      </c>
      <c r="G163" s="6" t="s">
        <v>1306</v>
      </c>
    </row>
    <row r="164" spans="1:7" ht="69.95" customHeight="1">
      <c r="A164" s="6" t="s">
        <v>1686</v>
      </c>
      <c r="B164" s="6" t="s">
        <v>1482</v>
      </c>
      <c r="C164" s="6" t="s">
        <v>1465</v>
      </c>
      <c r="D164" s="6" t="s">
        <v>1466</v>
      </c>
      <c r="E164" s="6" t="s">
        <v>1304</v>
      </c>
      <c r="F164" s="6" t="s">
        <v>1707</v>
      </c>
      <c r="G164" s="6" t="s">
        <v>1306</v>
      </c>
    </row>
    <row r="165" spans="1:7" ht="69.95" customHeight="1">
      <c r="A165" s="6" t="s">
        <v>1686</v>
      </c>
      <c r="B165" s="6" t="s">
        <v>1708</v>
      </c>
      <c r="C165" s="6" t="s">
        <v>1465</v>
      </c>
      <c r="D165" s="6" t="s">
        <v>1466</v>
      </c>
      <c r="E165" s="6" t="s">
        <v>1304</v>
      </c>
      <c r="F165" s="6" t="s">
        <v>1709</v>
      </c>
      <c r="G165" s="6" t="s">
        <v>1306</v>
      </c>
    </row>
    <row r="166" spans="1:7" ht="69.95" customHeight="1">
      <c r="A166" s="6" t="s">
        <v>1710</v>
      </c>
      <c r="B166" s="6" t="s">
        <v>1711</v>
      </c>
      <c r="C166" s="6" t="s">
        <v>1465</v>
      </c>
      <c r="D166" s="6" t="s">
        <v>1466</v>
      </c>
      <c r="E166" s="6" t="s">
        <v>1304</v>
      </c>
      <c r="F166" s="6" t="s">
        <v>1712</v>
      </c>
      <c r="G166" s="6" t="s">
        <v>1306</v>
      </c>
    </row>
    <row r="167" spans="1:7" ht="69.95" customHeight="1">
      <c r="A167" s="6" t="s">
        <v>1713</v>
      </c>
      <c r="B167" s="6" t="s">
        <v>1595</v>
      </c>
      <c r="C167" s="6" t="s">
        <v>1714</v>
      </c>
      <c r="D167" s="6" t="s">
        <v>1303</v>
      </c>
      <c r="E167" s="6" t="s">
        <v>1304</v>
      </c>
      <c r="F167" s="6" t="s">
        <v>1715</v>
      </c>
      <c r="G167" s="6" t="s">
        <v>1306</v>
      </c>
    </row>
    <row r="168" spans="1:7" ht="69.95" customHeight="1">
      <c r="A168" s="6" t="s">
        <v>1713</v>
      </c>
      <c r="B168" s="6" t="s">
        <v>1597</v>
      </c>
      <c r="C168" s="6" t="s">
        <v>1716</v>
      </c>
      <c r="D168" s="6" t="s">
        <v>1303</v>
      </c>
      <c r="E168" s="6" t="s">
        <v>1304</v>
      </c>
      <c r="F168" s="6" t="s">
        <v>1717</v>
      </c>
      <c r="G168" s="6" t="s">
        <v>1306</v>
      </c>
    </row>
    <row r="169" spans="1:7" ht="69.95" customHeight="1">
      <c r="A169" s="6" t="s">
        <v>1713</v>
      </c>
      <c r="B169" s="6" t="s">
        <v>1599</v>
      </c>
      <c r="C169" s="6" t="s">
        <v>1718</v>
      </c>
      <c r="D169" s="6" t="s">
        <v>1303</v>
      </c>
      <c r="E169" s="6" t="s">
        <v>1304</v>
      </c>
      <c r="F169" s="6" t="s">
        <v>1719</v>
      </c>
      <c r="G169" s="6" t="s">
        <v>1306</v>
      </c>
    </row>
    <row r="170" spans="1:7" ht="69.95" customHeight="1">
      <c r="A170" s="6" t="s">
        <v>1713</v>
      </c>
      <c r="B170" s="6" t="s">
        <v>1601</v>
      </c>
      <c r="C170" s="6" t="s">
        <v>1720</v>
      </c>
      <c r="D170" s="6" t="s">
        <v>1303</v>
      </c>
      <c r="E170" s="6" t="s">
        <v>1304</v>
      </c>
      <c r="F170" s="6" t="s">
        <v>1721</v>
      </c>
      <c r="G170" s="6" t="s">
        <v>1306</v>
      </c>
    </row>
    <row r="171" spans="1:7" ht="69.95" customHeight="1">
      <c r="A171" s="6" t="s">
        <v>1713</v>
      </c>
      <c r="B171" s="6" t="s">
        <v>1603</v>
      </c>
      <c r="C171" s="6" t="s">
        <v>1722</v>
      </c>
      <c r="D171" s="6" t="s">
        <v>1303</v>
      </c>
      <c r="E171" s="6" t="s">
        <v>1304</v>
      </c>
      <c r="F171" s="6" t="s">
        <v>1723</v>
      </c>
      <c r="G171" s="6" t="s">
        <v>1306</v>
      </c>
    </row>
    <row r="172" spans="1:7" ht="69.95" customHeight="1">
      <c r="A172" s="6" t="s">
        <v>1713</v>
      </c>
      <c r="B172" s="6" t="s">
        <v>1605</v>
      </c>
      <c r="C172" s="6" t="s">
        <v>1724</v>
      </c>
      <c r="D172" s="6" t="s">
        <v>1303</v>
      </c>
      <c r="E172" s="6" t="s">
        <v>1304</v>
      </c>
      <c r="F172" s="6" t="s">
        <v>1725</v>
      </c>
      <c r="G172" s="6" t="s">
        <v>1306</v>
      </c>
    </row>
    <row r="173" spans="1:7" ht="69.95" customHeight="1">
      <c r="A173" s="6" t="s">
        <v>1713</v>
      </c>
      <c r="B173" s="6" t="s">
        <v>1607</v>
      </c>
      <c r="C173" s="6" t="s">
        <v>1726</v>
      </c>
      <c r="D173" s="6" t="s">
        <v>1303</v>
      </c>
      <c r="E173" s="6" t="s">
        <v>1304</v>
      </c>
      <c r="F173" s="6" t="s">
        <v>1727</v>
      </c>
      <c r="G173" s="6" t="s">
        <v>1306</v>
      </c>
    </row>
    <row r="174" spans="1:7" ht="69.95" customHeight="1">
      <c r="A174" s="6" t="s">
        <v>1713</v>
      </c>
      <c r="B174" s="6" t="s">
        <v>1609</v>
      </c>
      <c r="C174" s="6" t="s">
        <v>1728</v>
      </c>
      <c r="D174" s="6" t="s">
        <v>1303</v>
      </c>
      <c r="E174" s="6" t="s">
        <v>1304</v>
      </c>
      <c r="F174" s="6" t="s">
        <v>1729</v>
      </c>
      <c r="G174" s="6" t="s">
        <v>1306</v>
      </c>
    </row>
    <row r="175" spans="1:7" ht="69.95" customHeight="1">
      <c r="A175" s="6" t="s">
        <v>1730</v>
      </c>
      <c r="B175" s="6" t="s">
        <v>1731</v>
      </c>
      <c r="C175" s="6" t="s">
        <v>1732</v>
      </c>
      <c r="D175" s="6" t="s">
        <v>1303</v>
      </c>
      <c r="E175" s="6" t="s">
        <v>1304</v>
      </c>
      <c r="F175" s="6" t="s">
        <v>1733</v>
      </c>
      <c r="G175" s="6" t="s">
        <v>1306</v>
      </c>
    </row>
    <row r="176" spans="1:7" ht="69.95" customHeight="1">
      <c r="A176" s="6" t="s">
        <v>1730</v>
      </c>
      <c r="B176" s="6" t="s">
        <v>1734</v>
      </c>
      <c r="C176" s="6" t="s">
        <v>1735</v>
      </c>
      <c r="D176" s="6" t="s">
        <v>1303</v>
      </c>
      <c r="E176" s="6" t="s">
        <v>1304</v>
      </c>
      <c r="F176" s="6" t="s">
        <v>1736</v>
      </c>
      <c r="G176" s="6" t="s">
        <v>1306</v>
      </c>
    </row>
    <row r="177" spans="1:7" ht="69.95" customHeight="1">
      <c r="A177" s="6" t="s">
        <v>1730</v>
      </c>
      <c r="B177" s="6" t="s">
        <v>1737</v>
      </c>
      <c r="C177" s="6" t="s">
        <v>1738</v>
      </c>
      <c r="D177" s="6" t="s">
        <v>1303</v>
      </c>
      <c r="E177" s="6" t="s">
        <v>1304</v>
      </c>
      <c r="F177" s="6" t="s">
        <v>1739</v>
      </c>
      <c r="G177" s="6" t="s">
        <v>1306</v>
      </c>
    </row>
    <row r="178" spans="1:7" ht="69.95" customHeight="1">
      <c r="A178" s="6" t="s">
        <v>1730</v>
      </c>
      <c r="B178" s="6" t="s">
        <v>1740</v>
      </c>
      <c r="C178" s="6" t="s">
        <v>1741</v>
      </c>
      <c r="D178" s="6" t="s">
        <v>1303</v>
      </c>
      <c r="E178" s="6" t="s">
        <v>1304</v>
      </c>
      <c r="F178" s="6" t="s">
        <v>1742</v>
      </c>
      <c r="G178" s="6" t="s">
        <v>1306</v>
      </c>
    </row>
    <row r="179" spans="1:7" ht="69.95" customHeight="1">
      <c r="A179" s="6" t="s">
        <v>1730</v>
      </c>
      <c r="B179" s="6" t="s">
        <v>1743</v>
      </c>
      <c r="C179" s="6" t="s">
        <v>1744</v>
      </c>
      <c r="D179" s="6" t="s">
        <v>1303</v>
      </c>
      <c r="E179" s="6" t="s">
        <v>1304</v>
      </c>
      <c r="F179" s="6" t="s">
        <v>1745</v>
      </c>
      <c r="G179" s="6" t="s">
        <v>1306</v>
      </c>
    </row>
    <row r="180" spans="1:7" ht="69.95" customHeight="1">
      <c r="A180" s="6" t="s">
        <v>1730</v>
      </c>
      <c r="B180" s="6" t="s">
        <v>1746</v>
      </c>
      <c r="C180" s="6" t="s">
        <v>1747</v>
      </c>
      <c r="D180" s="6" t="s">
        <v>1303</v>
      </c>
      <c r="E180" s="6" t="s">
        <v>1304</v>
      </c>
      <c r="F180" s="6" t="s">
        <v>1748</v>
      </c>
      <c r="G180" s="6" t="s">
        <v>1306</v>
      </c>
    </row>
    <row r="181" spans="1:7" ht="69.95" customHeight="1">
      <c r="A181" s="6" t="s">
        <v>1730</v>
      </c>
      <c r="B181" s="6" t="s">
        <v>1749</v>
      </c>
      <c r="C181" s="6" t="s">
        <v>1750</v>
      </c>
      <c r="D181" s="6" t="s">
        <v>1303</v>
      </c>
      <c r="E181" s="6" t="s">
        <v>1304</v>
      </c>
      <c r="F181" s="6" t="s">
        <v>1751</v>
      </c>
      <c r="G181" s="6" t="s">
        <v>1306</v>
      </c>
    </row>
    <row r="182" spans="1:7" ht="69.95" customHeight="1">
      <c r="A182" s="6" t="s">
        <v>1730</v>
      </c>
      <c r="B182" s="6" t="s">
        <v>1595</v>
      </c>
      <c r="C182" s="6" t="s">
        <v>1465</v>
      </c>
      <c r="D182" s="6" t="s">
        <v>1303</v>
      </c>
      <c r="E182" s="6" t="s">
        <v>1304</v>
      </c>
      <c r="F182" s="6" t="s">
        <v>1752</v>
      </c>
      <c r="G182" s="6" t="s">
        <v>1306</v>
      </c>
    </row>
    <row r="183" spans="1:7" ht="69.95" customHeight="1">
      <c r="A183" s="6" t="s">
        <v>1730</v>
      </c>
      <c r="B183" s="6" t="s">
        <v>1597</v>
      </c>
      <c r="C183" s="6" t="s">
        <v>1465</v>
      </c>
      <c r="D183" s="6" t="s">
        <v>1303</v>
      </c>
      <c r="E183" s="6" t="s">
        <v>1304</v>
      </c>
      <c r="F183" s="6" t="s">
        <v>1753</v>
      </c>
      <c r="G183" s="6" t="s">
        <v>1306</v>
      </c>
    </row>
    <row r="184" spans="1:7" ht="69.95" customHeight="1">
      <c r="A184" s="6" t="s">
        <v>1730</v>
      </c>
      <c r="B184" s="6" t="s">
        <v>1599</v>
      </c>
      <c r="C184" s="6" t="s">
        <v>1465</v>
      </c>
      <c r="D184" s="6" t="s">
        <v>1303</v>
      </c>
      <c r="E184" s="6" t="s">
        <v>1304</v>
      </c>
      <c r="F184" s="6" t="s">
        <v>1754</v>
      </c>
      <c r="G184" s="6" t="s">
        <v>1306</v>
      </c>
    </row>
    <row r="185" spans="1:7" ht="69.95" customHeight="1">
      <c r="A185" s="6" t="s">
        <v>1730</v>
      </c>
      <c r="B185" s="6" t="s">
        <v>1601</v>
      </c>
      <c r="C185" s="6" t="s">
        <v>1465</v>
      </c>
      <c r="D185" s="6" t="s">
        <v>1303</v>
      </c>
      <c r="E185" s="6" t="s">
        <v>1304</v>
      </c>
      <c r="F185" s="6" t="s">
        <v>1755</v>
      </c>
      <c r="G185" s="6" t="s">
        <v>1306</v>
      </c>
    </row>
    <row r="186" spans="1:7" ht="69.95" customHeight="1">
      <c r="A186" s="6" t="s">
        <v>1730</v>
      </c>
      <c r="B186" s="6" t="s">
        <v>1603</v>
      </c>
      <c r="C186" s="6" t="s">
        <v>1465</v>
      </c>
      <c r="D186" s="6" t="s">
        <v>1303</v>
      </c>
      <c r="E186" s="6" t="s">
        <v>1304</v>
      </c>
      <c r="F186" s="6" t="s">
        <v>1756</v>
      </c>
      <c r="G186" s="6" t="s">
        <v>1306</v>
      </c>
    </row>
    <row r="187" spans="1:7" ht="69.95" customHeight="1">
      <c r="A187" s="6" t="s">
        <v>1730</v>
      </c>
      <c r="B187" s="6" t="s">
        <v>1605</v>
      </c>
      <c r="C187" s="6" t="s">
        <v>1465</v>
      </c>
      <c r="D187" s="6" t="s">
        <v>1303</v>
      </c>
      <c r="E187" s="6" t="s">
        <v>1304</v>
      </c>
      <c r="F187" s="6" t="s">
        <v>1757</v>
      </c>
      <c r="G187" s="6" t="s">
        <v>1306</v>
      </c>
    </row>
    <row r="188" spans="1:7" ht="69.95" customHeight="1">
      <c r="A188" s="6" t="s">
        <v>1730</v>
      </c>
      <c r="B188" s="6" t="s">
        <v>1607</v>
      </c>
      <c r="C188" s="6" t="s">
        <v>1465</v>
      </c>
      <c r="D188" s="6" t="s">
        <v>1303</v>
      </c>
      <c r="E188" s="6" t="s">
        <v>1304</v>
      </c>
      <c r="F188" s="6" t="s">
        <v>1758</v>
      </c>
      <c r="G188" s="6" t="s">
        <v>1306</v>
      </c>
    </row>
    <row r="189" spans="1:7" ht="69.95" customHeight="1">
      <c r="A189" s="6" t="s">
        <v>1730</v>
      </c>
      <c r="B189" s="6" t="s">
        <v>1609</v>
      </c>
      <c r="C189" s="6" t="s">
        <v>1465</v>
      </c>
      <c r="D189" s="6" t="s">
        <v>1303</v>
      </c>
      <c r="E189" s="6" t="s">
        <v>1304</v>
      </c>
      <c r="F189" s="6" t="s">
        <v>1759</v>
      </c>
      <c r="G189" s="6" t="s">
        <v>1306</v>
      </c>
    </row>
    <row r="190" spans="1:7" ht="69.95" customHeight="1">
      <c r="A190" s="6" t="s">
        <v>1760</v>
      </c>
      <c r="B190" s="6" t="s">
        <v>1761</v>
      </c>
      <c r="C190" s="6" t="s">
        <v>1762</v>
      </c>
      <c r="D190" s="6" t="s">
        <v>1303</v>
      </c>
      <c r="E190" s="6" t="s">
        <v>1304</v>
      </c>
      <c r="F190" s="6" t="s">
        <v>1763</v>
      </c>
      <c r="G190" s="6" t="s">
        <v>1306</v>
      </c>
    </row>
    <row r="191" spans="1:7" ht="69.95" customHeight="1">
      <c r="A191" s="6" t="s">
        <v>1760</v>
      </c>
      <c r="B191" s="6" t="s">
        <v>1764</v>
      </c>
      <c r="C191" s="6" t="s">
        <v>1765</v>
      </c>
      <c r="D191" s="6" t="s">
        <v>1303</v>
      </c>
      <c r="E191" s="6" t="s">
        <v>1304</v>
      </c>
      <c r="F191" s="6" t="s">
        <v>1766</v>
      </c>
      <c r="G191" s="6" t="s">
        <v>1306</v>
      </c>
    </row>
    <row r="192" spans="1:7" ht="69.95" customHeight="1">
      <c r="A192" s="6" t="s">
        <v>1760</v>
      </c>
      <c r="B192" s="6" t="s">
        <v>1767</v>
      </c>
      <c r="C192" s="6" t="s">
        <v>1768</v>
      </c>
      <c r="D192" s="6" t="s">
        <v>1303</v>
      </c>
      <c r="E192" s="6" t="s">
        <v>1304</v>
      </c>
      <c r="F192" s="6" t="s">
        <v>1769</v>
      </c>
      <c r="G192" s="6" t="s">
        <v>1306</v>
      </c>
    </row>
    <row r="193" spans="1:7" ht="69.95" customHeight="1">
      <c r="A193" s="6" t="s">
        <v>1760</v>
      </c>
      <c r="B193" s="6" t="s">
        <v>1770</v>
      </c>
      <c r="C193" s="6" t="s">
        <v>1771</v>
      </c>
      <c r="D193" s="6" t="s">
        <v>1303</v>
      </c>
      <c r="E193" s="6" t="s">
        <v>1304</v>
      </c>
      <c r="F193" s="6" t="s">
        <v>1772</v>
      </c>
      <c r="G193" s="6" t="s">
        <v>1306</v>
      </c>
    </row>
    <row r="194" spans="1:7" ht="69.95" customHeight="1">
      <c r="A194" s="6" t="s">
        <v>1760</v>
      </c>
      <c r="B194" s="6" t="s">
        <v>1773</v>
      </c>
      <c r="C194" s="6" t="s">
        <v>1774</v>
      </c>
      <c r="D194" s="6" t="s">
        <v>1303</v>
      </c>
      <c r="E194" s="6" t="s">
        <v>1304</v>
      </c>
      <c r="F194" s="6" t="s">
        <v>1775</v>
      </c>
      <c r="G194" s="6" t="s">
        <v>1306</v>
      </c>
    </row>
    <row r="195" spans="1:7" ht="69.95" customHeight="1">
      <c r="A195" s="6" t="s">
        <v>1760</v>
      </c>
      <c r="B195" s="6" t="s">
        <v>1776</v>
      </c>
      <c r="C195" s="6" t="s">
        <v>1777</v>
      </c>
      <c r="D195" s="6" t="s">
        <v>1303</v>
      </c>
      <c r="E195" s="6" t="s">
        <v>1304</v>
      </c>
      <c r="F195" s="6" t="s">
        <v>1778</v>
      </c>
      <c r="G195" s="6" t="s">
        <v>1306</v>
      </c>
    </row>
    <row r="196" spans="1:7" ht="69.95" customHeight="1">
      <c r="A196" s="6" t="s">
        <v>1760</v>
      </c>
      <c r="B196" s="6" t="s">
        <v>1630</v>
      </c>
      <c r="C196" s="6" t="s">
        <v>1779</v>
      </c>
      <c r="D196" s="6" t="s">
        <v>1303</v>
      </c>
      <c r="E196" s="6" t="s">
        <v>1304</v>
      </c>
      <c r="F196" s="6" t="s">
        <v>1780</v>
      </c>
      <c r="G196" s="6" t="s">
        <v>1306</v>
      </c>
    </row>
    <row r="197" spans="1:7" ht="69.95" customHeight="1">
      <c r="A197" s="6" t="s">
        <v>1760</v>
      </c>
      <c r="B197" s="6" t="s">
        <v>1633</v>
      </c>
      <c r="C197" s="6" t="s">
        <v>1781</v>
      </c>
      <c r="D197" s="6" t="s">
        <v>1303</v>
      </c>
      <c r="E197" s="6" t="s">
        <v>1304</v>
      </c>
      <c r="F197" s="6" t="s">
        <v>1782</v>
      </c>
      <c r="G197" s="6" t="s">
        <v>1306</v>
      </c>
    </row>
    <row r="198" spans="1:7" ht="69.95" customHeight="1">
      <c r="A198" s="6" t="s">
        <v>1760</v>
      </c>
      <c r="B198" s="6" t="s">
        <v>1636</v>
      </c>
      <c r="C198" s="6" t="s">
        <v>1783</v>
      </c>
      <c r="D198" s="6" t="s">
        <v>1303</v>
      </c>
      <c r="E198" s="6" t="s">
        <v>1304</v>
      </c>
      <c r="F198" s="6" t="s">
        <v>1784</v>
      </c>
      <c r="G198" s="6" t="s">
        <v>1306</v>
      </c>
    </row>
    <row r="199" spans="1:7" ht="69.95" customHeight="1">
      <c r="A199" s="6" t="s">
        <v>1760</v>
      </c>
      <c r="B199" s="6" t="s">
        <v>1639</v>
      </c>
      <c r="C199" s="6" t="s">
        <v>1785</v>
      </c>
      <c r="D199" s="6" t="s">
        <v>1303</v>
      </c>
      <c r="E199" s="6" t="s">
        <v>1304</v>
      </c>
      <c r="F199" s="6" t="s">
        <v>1786</v>
      </c>
      <c r="G199" s="6" t="s">
        <v>1306</v>
      </c>
    </row>
    <row r="200" spans="1:7" ht="69.95" customHeight="1">
      <c r="A200" s="6" t="s">
        <v>1760</v>
      </c>
      <c r="B200" s="6" t="s">
        <v>1595</v>
      </c>
      <c r="C200" s="6" t="s">
        <v>1465</v>
      </c>
      <c r="D200" s="6" t="s">
        <v>1303</v>
      </c>
      <c r="E200" s="6" t="s">
        <v>1304</v>
      </c>
      <c r="F200" s="6" t="s">
        <v>1787</v>
      </c>
      <c r="G200" s="6" t="s">
        <v>1306</v>
      </c>
    </row>
    <row r="201" spans="1:7" ht="69.95" customHeight="1">
      <c r="A201" s="6" t="s">
        <v>1760</v>
      </c>
      <c r="B201" s="6" t="s">
        <v>1597</v>
      </c>
      <c r="C201" s="6" t="s">
        <v>1465</v>
      </c>
      <c r="D201" s="6" t="s">
        <v>1303</v>
      </c>
      <c r="E201" s="6" t="s">
        <v>1304</v>
      </c>
      <c r="F201" s="6" t="s">
        <v>1788</v>
      </c>
      <c r="G201" s="6" t="s">
        <v>1306</v>
      </c>
    </row>
    <row r="202" spans="1:7" ht="69.95" customHeight="1">
      <c r="A202" s="6" t="s">
        <v>1760</v>
      </c>
      <c r="B202" s="6" t="s">
        <v>1599</v>
      </c>
      <c r="C202" s="6" t="s">
        <v>1465</v>
      </c>
      <c r="D202" s="6" t="s">
        <v>1303</v>
      </c>
      <c r="E202" s="6" t="s">
        <v>1304</v>
      </c>
      <c r="F202" s="6" t="s">
        <v>1789</v>
      </c>
      <c r="G202" s="6" t="s">
        <v>1306</v>
      </c>
    </row>
    <row r="203" spans="1:7" ht="69.95" customHeight="1">
      <c r="A203" s="6" t="s">
        <v>1760</v>
      </c>
      <c r="B203" s="6" t="s">
        <v>1601</v>
      </c>
      <c r="C203" s="6" t="s">
        <v>1465</v>
      </c>
      <c r="D203" s="6" t="s">
        <v>1303</v>
      </c>
      <c r="E203" s="6" t="s">
        <v>1304</v>
      </c>
      <c r="F203" s="6" t="s">
        <v>1790</v>
      </c>
      <c r="G203" s="6" t="s">
        <v>1306</v>
      </c>
    </row>
    <row r="204" spans="1:7" ht="69.95" customHeight="1">
      <c r="A204" s="6" t="s">
        <v>1760</v>
      </c>
      <c r="B204" s="6" t="s">
        <v>1603</v>
      </c>
      <c r="C204" s="6" t="s">
        <v>1465</v>
      </c>
      <c r="D204" s="6" t="s">
        <v>1303</v>
      </c>
      <c r="E204" s="6" t="s">
        <v>1304</v>
      </c>
      <c r="F204" s="6" t="s">
        <v>1791</v>
      </c>
      <c r="G204" s="6" t="s">
        <v>1306</v>
      </c>
    </row>
    <row r="205" spans="1:7" ht="69.95" customHeight="1">
      <c r="A205" s="6" t="s">
        <v>1760</v>
      </c>
      <c r="B205" s="6" t="s">
        <v>1605</v>
      </c>
      <c r="C205" s="6" t="s">
        <v>1465</v>
      </c>
      <c r="D205" s="6" t="s">
        <v>1303</v>
      </c>
      <c r="E205" s="6" t="s">
        <v>1304</v>
      </c>
      <c r="F205" s="6" t="s">
        <v>1792</v>
      </c>
      <c r="G205" s="6" t="s">
        <v>1306</v>
      </c>
    </row>
    <row r="206" spans="1:7" ht="69.95" customHeight="1">
      <c r="A206" s="6" t="s">
        <v>1760</v>
      </c>
      <c r="B206" s="6" t="s">
        <v>1607</v>
      </c>
      <c r="C206" s="6" t="s">
        <v>1465</v>
      </c>
      <c r="D206" s="6" t="s">
        <v>1303</v>
      </c>
      <c r="E206" s="6" t="s">
        <v>1304</v>
      </c>
      <c r="F206" s="6" t="s">
        <v>1793</v>
      </c>
      <c r="G206" s="6" t="s">
        <v>1306</v>
      </c>
    </row>
    <row r="207" spans="1:7" ht="69.95" customHeight="1">
      <c r="A207" s="6" t="s">
        <v>1760</v>
      </c>
      <c r="B207" s="6" t="s">
        <v>1609</v>
      </c>
      <c r="C207" s="6" t="s">
        <v>1465</v>
      </c>
      <c r="D207" s="6" t="s">
        <v>1303</v>
      </c>
      <c r="E207" s="6" t="s">
        <v>1304</v>
      </c>
      <c r="F207" s="6" t="s">
        <v>1794</v>
      </c>
      <c r="G207" s="6" t="s">
        <v>1306</v>
      </c>
    </row>
    <row r="208" spans="1:7" ht="69.95" customHeight="1">
      <c r="A208" s="6" t="s">
        <v>1795</v>
      </c>
      <c r="B208" s="6" t="s">
        <v>1796</v>
      </c>
      <c r="C208" s="6" t="s">
        <v>1797</v>
      </c>
      <c r="D208" s="6" t="s">
        <v>1303</v>
      </c>
      <c r="E208" s="6" t="s">
        <v>1304</v>
      </c>
      <c r="F208" s="6" t="s">
        <v>1798</v>
      </c>
      <c r="G208" s="6" t="s">
        <v>1306</v>
      </c>
    </row>
    <row r="209" spans="1:7" ht="69.95" customHeight="1">
      <c r="A209" s="6" t="s">
        <v>1795</v>
      </c>
      <c r="B209" s="6" t="s">
        <v>1799</v>
      </c>
      <c r="C209" s="6" t="s">
        <v>1800</v>
      </c>
      <c r="D209" s="6" t="s">
        <v>1303</v>
      </c>
      <c r="E209" s="6" t="s">
        <v>1304</v>
      </c>
      <c r="F209" s="6" t="s">
        <v>1801</v>
      </c>
      <c r="G209" s="6" t="s">
        <v>1306</v>
      </c>
    </row>
    <row r="210" spans="1:7" ht="69.95" customHeight="1">
      <c r="A210" s="6" t="s">
        <v>1795</v>
      </c>
      <c r="B210" s="6" t="s">
        <v>1802</v>
      </c>
      <c r="C210" s="6" t="s">
        <v>1803</v>
      </c>
      <c r="D210" s="6" t="s">
        <v>1303</v>
      </c>
      <c r="E210" s="6" t="s">
        <v>1304</v>
      </c>
      <c r="F210" s="6" t="s">
        <v>1804</v>
      </c>
      <c r="G210" s="6" t="s">
        <v>1306</v>
      </c>
    </row>
    <row r="211" spans="1:7" ht="69.95" customHeight="1">
      <c r="A211" s="6" t="s">
        <v>1795</v>
      </c>
      <c r="B211" s="6" t="s">
        <v>1805</v>
      </c>
      <c r="C211" s="6" t="s">
        <v>1806</v>
      </c>
      <c r="D211" s="6" t="s">
        <v>1303</v>
      </c>
      <c r="E211" s="6" t="s">
        <v>1304</v>
      </c>
      <c r="F211" s="6" t="s">
        <v>1807</v>
      </c>
      <c r="G211" s="6" t="s">
        <v>1306</v>
      </c>
    </row>
    <row r="212" spans="1:7" ht="69.95" customHeight="1">
      <c r="A212" s="6" t="s">
        <v>1795</v>
      </c>
      <c r="B212" s="6" t="s">
        <v>1337</v>
      </c>
      <c r="C212" s="6" t="s">
        <v>1808</v>
      </c>
      <c r="D212" s="6" t="s">
        <v>1303</v>
      </c>
      <c r="E212" s="6" t="s">
        <v>1304</v>
      </c>
      <c r="F212" s="6" t="s">
        <v>1809</v>
      </c>
      <c r="G212" s="6" t="s">
        <v>1306</v>
      </c>
    </row>
    <row r="213" spans="1:7" ht="69.95" customHeight="1">
      <c r="A213" s="6" t="s">
        <v>1795</v>
      </c>
      <c r="B213" s="6" t="s">
        <v>1586</v>
      </c>
      <c r="C213" s="6" t="s">
        <v>1810</v>
      </c>
      <c r="D213" s="6" t="s">
        <v>1303</v>
      </c>
      <c r="E213" s="6" t="s">
        <v>1304</v>
      </c>
      <c r="F213" s="6" t="s">
        <v>1811</v>
      </c>
      <c r="G213" s="6" t="s">
        <v>1306</v>
      </c>
    </row>
    <row r="214" spans="1:7" ht="69.95" customHeight="1">
      <c r="A214" s="6" t="s">
        <v>1795</v>
      </c>
      <c r="B214" s="6" t="s">
        <v>1589</v>
      </c>
      <c r="C214" s="6" t="s">
        <v>1812</v>
      </c>
      <c r="D214" s="6" t="s">
        <v>1303</v>
      </c>
      <c r="E214" s="6" t="s">
        <v>1304</v>
      </c>
      <c r="F214" s="6" t="s">
        <v>1813</v>
      </c>
      <c r="G214" s="6" t="s">
        <v>1306</v>
      </c>
    </row>
    <row r="215" spans="1:7" ht="69.95" customHeight="1">
      <c r="A215" s="6" t="s">
        <v>1795</v>
      </c>
      <c r="B215" s="6" t="s">
        <v>1592</v>
      </c>
      <c r="C215" s="6" t="s">
        <v>1814</v>
      </c>
      <c r="D215" s="6" t="s">
        <v>1303</v>
      </c>
      <c r="E215" s="6" t="s">
        <v>1304</v>
      </c>
      <c r="F215" s="6" t="s">
        <v>1815</v>
      </c>
      <c r="G215" s="6" t="s">
        <v>1306</v>
      </c>
    </row>
    <row r="216" spans="1:7" ht="69.95" customHeight="1">
      <c r="A216" s="6" t="s">
        <v>1795</v>
      </c>
      <c r="B216" s="6" t="s">
        <v>1595</v>
      </c>
      <c r="C216" s="6" t="s">
        <v>1465</v>
      </c>
      <c r="D216" s="6" t="s">
        <v>1303</v>
      </c>
      <c r="E216" s="6" t="s">
        <v>1304</v>
      </c>
      <c r="F216" s="6" t="s">
        <v>1816</v>
      </c>
      <c r="G216" s="6" t="s">
        <v>1306</v>
      </c>
    </row>
    <row r="217" spans="1:7" ht="69.95" customHeight="1">
      <c r="A217" s="6" t="s">
        <v>1795</v>
      </c>
      <c r="B217" s="6" t="s">
        <v>1597</v>
      </c>
      <c r="C217" s="6" t="s">
        <v>1465</v>
      </c>
      <c r="D217" s="6" t="s">
        <v>1303</v>
      </c>
      <c r="E217" s="6" t="s">
        <v>1304</v>
      </c>
      <c r="F217" s="6" t="s">
        <v>1817</v>
      </c>
      <c r="G217" s="6" t="s">
        <v>1306</v>
      </c>
    </row>
    <row r="218" spans="1:7" ht="69.95" customHeight="1">
      <c r="A218" s="6" t="s">
        <v>1795</v>
      </c>
      <c r="B218" s="6" t="s">
        <v>1599</v>
      </c>
      <c r="C218" s="6" t="s">
        <v>1465</v>
      </c>
      <c r="D218" s="6" t="s">
        <v>1303</v>
      </c>
      <c r="E218" s="6" t="s">
        <v>1304</v>
      </c>
      <c r="F218" s="6" t="s">
        <v>1818</v>
      </c>
      <c r="G218" s="6" t="s">
        <v>1306</v>
      </c>
    </row>
    <row r="219" spans="1:7" ht="69.95" customHeight="1">
      <c r="A219" s="6" t="s">
        <v>1795</v>
      </c>
      <c r="B219" s="6" t="s">
        <v>1601</v>
      </c>
      <c r="C219" s="6" t="s">
        <v>1465</v>
      </c>
      <c r="D219" s="6" t="s">
        <v>1303</v>
      </c>
      <c r="E219" s="6" t="s">
        <v>1304</v>
      </c>
      <c r="F219" s="6" t="s">
        <v>1819</v>
      </c>
      <c r="G219" s="6" t="s">
        <v>1306</v>
      </c>
    </row>
    <row r="220" spans="1:7" ht="69.95" customHeight="1">
      <c r="A220" s="6" t="s">
        <v>1795</v>
      </c>
      <c r="B220" s="6" t="s">
        <v>1603</v>
      </c>
      <c r="C220" s="6" t="s">
        <v>1465</v>
      </c>
      <c r="D220" s="6" t="s">
        <v>1303</v>
      </c>
      <c r="E220" s="6" t="s">
        <v>1304</v>
      </c>
      <c r="F220" s="6" t="s">
        <v>1820</v>
      </c>
      <c r="G220" s="6" t="s">
        <v>1306</v>
      </c>
    </row>
    <row r="221" spans="1:7" ht="69.95" customHeight="1">
      <c r="A221" s="6" t="s">
        <v>1795</v>
      </c>
      <c r="B221" s="6" t="s">
        <v>1605</v>
      </c>
      <c r="C221" s="6" t="s">
        <v>1465</v>
      </c>
      <c r="D221" s="6" t="s">
        <v>1303</v>
      </c>
      <c r="E221" s="6" t="s">
        <v>1304</v>
      </c>
      <c r="F221" s="6" t="s">
        <v>1821</v>
      </c>
      <c r="G221" s="6" t="s">
        <v>1306</v>
      </c>
    </row>
    <row r="222" spans="1:7" ht="69.95" customHeight="1">
      <c r="A222" s="6" t="s">
        <v>1795</v>
      </c>
      <c r="B222" s="6" t="s">
        <v>1607</v>
      </c>
      <c r="C222" s="6" t="s">
        <v>1465</v>
      </c>
      <c r="D222" s="6" t="s">
        <v>1303</v>
      </c>
      <c r="E222" s="6" t="s">
        <v>1304</v>
      </c>
      <c r="F222" s="6" t="s">
        <v>1822</v>
      </c>
      <c r="G222" s="6" t="s">
        <v>1306</v>
      </c>
    </row>
    <row r="223" spans="1:7" ht="69.95" customHeight="1">
      <c r="A223" s="6" t="s">
        <v>1795</v>
      </c>
      <c r="B223" s="6" t="s">
        <v>1609</v>
      </c>
      <c r="C223" s="6" t="s">
        <v>1465</v>
      </c>
      <c r="D223" s="6" t="s">
        <v>1303</v>
      </c>
      <c r="E223" s="6" t="s">
        <v>1304</v>
      </c>
      <c r="F223" s="6" t="s">
        <v>1823</v>
      </c>
      <c r="G223" s="6" t="s">
        <v>1306</v>
      </c>
    </row>
    <row r="224" spans="1:7" ht="69.95" customHeight="1">
      <c r="A224" s="6" t="s">
        <v>1824</v>
      </c>
      <c r="B224" s="6" t="s">
        <v>1825</v>
      </c>
      <c r="C224" s="6" t="s">
        <v>1826</v>
      </c>
      <c r="D224" s="6" t="s">
        <v>1303</v>
      </c>
      <c r="E224" s="6" t="s">
        <v>1304</v>
      </c>
      <c r="F224" s="6" t="s">
        <v>1827</v>
      </c>
      <c r="G224" s="6" t="s">
        <v>1306</v>
      </c>
    </row>
    <row r="225" spans="1:7" ht="69.95" customHeight="1">
      <c r="A225" s="6" t="s">
        <v>1824</v>
      </c>
      <c r="B225" s="6" t="s">
        <v>1828</v>
      </c>
      <c r="C225" s="6" t="s">
        <v>1829</v>
      </c>
      <c r="D225" s="6" t="s">
        <v>1303</v>
      </c>
      <c r="E225" s="6" t="s">
        <v>1304</v>
      </c>
      <c r="F225" s="6" t="s">
        <v>1830</v>
      </c>
      <c r="G225" s="6" t="s">
        <v>1306</v>
      </c>
    </row>
    <row r="226" spans="1:7" ht="69.95" customHeight="1">
      <c r="A226" s="6" t="s">
        <v>1824</v>
      </c>
      <c r="B226" s="6" t="s">
        <v>1831</v>
      </c>
      <c r="C226" s="6" t="s">
        <v>1170</v>
      </c>
      <c r="D226" s="6" t="s">
        <v>1303</v>
      </c>
      <c r="E226" s="6" t="s">
        <v>1304</v>
      </c>
      <c r="F226" s="6" t="s">
        <v>1832</v>
      </c>
      <c r="G226" s="6" t="s">
        <v>1306</v>
      </c>
    </row>
    <row r="227" spans="1:7" ht="69.95" customHeight="1">
      <c r="A227" s="6" t="s">
        <v>1824</v>
      </c>
      <c r="B227" s="6" t="s">
        <v>1833</v>
      </c>
      <c r="C227" s="6" t="s">
        <v>1176</v>
      </c>
      <c r="D227" s="6" t="s">
        <v>1303</v>
      </c>
      <c r="E227" s="6" t="s">
        <v>1304</v>
      </c>
      <c r="F227" s="6" t="s">
        <v>1834</v>
      </c>
      <c r="G227" s="6" t="s">
        <v>1306</v>
      </c>
    </row>
    <row r="228" spans="1:7" ht="69.95" customHeight="1">
      <c r="A228" s="6" t="s">
        <v>1824</v>
      </c>
      <c r="B228" s="6" t="s">
        <v>1835</v>
      </c>
      <c r="C228" s="6" t="s">
        <v>1179</v>
      </c>
      <c r="D228" s="6" t="s">
        <v>1303</v>
      </c>
      <c r="E228" s="6" t="s">
        <v>1304</v>
      </c>
      <c r="F228" s="6" t="s">
        <v>1836</v>
      </c>
      <c r="G228" s="6" t="s">
        <v>1306</v>
      </c>
    </row>
    <row r="229" spans="1:7" ht="69.95" customHeight="1">
      <c r="A229" s="6" t="s">
        <v>1824</v>
      </c>
      <c r="B229" s="6" t="s">
        <v>1837</v>
      </c>
      <c r="C229" s="6" t="s">
        <v>1182</v>
      </c>
      <c r="D229" s="6" t="s">
        <v>1303</v>
      </c>
      <c r="E229" s="6" t="s">
        <v>1304</v>
      </c>
      <c r="F229" s="6" t="s">
        <v>1838</v>
      </c>
      <c r="G229" s="6" t="s">
        <v>1306</v>
      </c>
    </row>
    <row r="230" spans="1:7" ht="69.95" customHeight="1">
      <c r="A230" s="6" t="s">
        <v>1824</v>
      </c>
      <c r="B230" s="6" t="s">
        <v>1839</v>
      </c>
      <c r="C230" s="6" t="s">
        <v>1185</v>
      </c>
      <c r="D230" s="6" t="s">
        <v>1303</v>
      </c>
      <c r="E230" s="6" t="s">
        <v>1304</v>
      </c>
      <c r="F230" s="6" t="s">
        <v>1840</v>
      </c>
      <c r="G230" s="6" t="s">
        <v>1306</v>
      </c>
    </row>
    <row r="231" spans="1:7" ht="69.95" customHeight="1">
      <c r="A231" s="6" t="s">
        <v>1824</v>
      </c>
      <c r="B231" s="6" t="s">
        <v>1841</v>
      </c>
      <c r="C231" s="6" t="s">
        <v>1188</v>
      </c>
      <c r="D231" s="6" t="s">
        <v>1303</v>
      </c>
      <c r="E231" s="6" t="s">
        <v>1304</v>
      </c>
      <c r="F231" s="6" t="s">
        <v>1842</v>
      </c>
      <c r="G231" s="6" t="s">
        <v>1306</v>
      </c>
    </row>
    <row r="232" spans="1:7" ht="69.95" customHeight="1">
      <c r="A232" s="6" t="s">
        <v>1824</v>
      </c>
      <c r="B232" s="6" t="s">
        <v>1843</v>
      </c>
      <c r="C232" s="6" t="s">
        <v>1191</v>
      </c>
      <c r="D232" s="6" t="s">
        <v>1303</v>
      </c>
      <c r="E232" s="6" t="s">
        <v>1304</v>
      </c>
      <c r="F232" s="6" t="s">
        <v>1844</v>
      </c>
      <c r="G232" s="6" t="s">
        <v>1306</v>
      </c>
    </row>
    <row r="233" spans="1:7" ht="69.95" customHeight="1">
      <c r="A233" s="6" t="s">
        <v>1824</v>
      </c>
      <c r="B233" s="6" t="s">
        <v>1845</v>
      </c>
      <c r="C233" s="6" t="s">
        <v>1194</v>
      </c>
      <c r="D233" s="6" t="s">
        <v>1303</v>
      </c>
      <c r="E233" s="6" t="s">
        <v>1304</v>
      </c>
      <c r="F233" s="6" t="s">
        <v>1846</v>
      </c>
      <c r="G233" s="6" t="s">
        <v>1306</v>
      </c>
    </row>
    <row r="234" spans="1:7" ht="69.95" customHeight="1">
      <c r="A234" s="6" t="s">
        <v>1824</v>
      </c>
      <c r="B234" s="6" t="s">
        <v>1847</v>
      </c>
      <c r="C234" s="6" t="s">
        <v>1197</v>
      </c>
      <c r="D234" s="6" t="s">
        <v>1303</v>
      </c>
      <c r="E234" s="6" t="s">
        <v>1304</v>
      </c>
      <c r="F234" s="6" t="s">
        <v>1848</v>
      </c>
      <c r="G234" s="6" t="s">
        <v>1306</v>
      </c>
    </row>
    <row r="235" spans="1:7" ht="69.95" customHeight="1">
      <c r="A235" s="6" t="s">
        <v>1824</v>
      </c>
      <c r="B235" s="6" t="s">
        <v>1849</v>
      </c>
      <c r="C235" s="6" t="s">
        <v>1200</v>
      </c>
      <c r="D235" s="6" t="s">
        <v>1303</v>
      </c>
      <c r="E235" s="6" t="s">
        <v>1304</v>
      </c>
      <c r="F235" s="6" t="s">
        <v>1850</v>
      </c>
      <c r="G235" s="6" t="s">
        <v>1306</v>
      </c>
    </row>
    <row r="236" spans="1:7" ht="69.95" customHeight="1">
      <c r="A236" s="6" t="s">
        <v>1824</v>
      </c>
      <c r="B236" s="6" t="s">
        <v>1851</v>
      </c>
      <c r="C236" s="6" t="s">
        <v>1203</v>
      </c>
      <c r="D236" s="6" t="s">
        <v>1303</v>
      </c>
      <c r="E236" s="6" t="s">
        <v>1304</v>
      </c>
      <c r="F236" s="6" t="s">
        <v>1852</v>
      </c>
      <c r="G236" s="6" t="s">
        <v>1306</v>
      </c>
    </row>
    <row r="237" spans="1:7" ht="69.95" customHeight="1">
      <c r="A237" s="6" t="s">
        <v>1824</v>
      </c>
      <c r="B237" s="6" t="s">
        <v>1853</v>
      </c>
      <c r="C237" s="6" t="s">
        <v>1206</v>
      </c>
      <c r="D237" s="6" t="s">
        <v>1303</v>
      </c>
      <c r="E237" s="6" t="s">
        <v>1304</v>
      </c>
      <c r="F237" s="6" t="s">
        <v>1854</v>
      </c>
      <c r="G237" s="6" t="s">
        <v>1306</v>
      </c>
    </row>
    <row r="238" spans="1:7" ht="69.95" customHeight="1">
      <c r="A238" s="6" t="s">
        <v>1824</v>
      </c>
      <c r="B238" s="6" t="s">
        <v>1855</v>
      </c>
      <c r="C238" s="6" t="s">
        <v>1209</v>
      </c>
      <c r="D238" s="6" t="s">
        <v>1303</v>
      </c>
      <c r="E238" s="6" t="s">
        <v>1304</v>
      </c>
      <c r="F238" s="6" t="s">
        <v>1856</v>
      </c>
      <c r="G238" s="6" t="s">
        <v>1306</v>
      </c>
    </row>
    <row r="239" spans="1:7" ht="69.95" customHeight="1">
      <c r="A239" s="6" t="s">
        <v>1824</v>
      </c>
      <c r="B239" s="6" t="s">
        <v>1857</v>
      </c>
      <c r="C239" s="6" t="s">
        <v>1212</v>
      </c>
      <c r="D239" s="6" t="s">
        <v>1303</v>
      </c>
      <c r="E239" s="6" t="s">
        <v>1304</v>
      </c>
      <c r="F239" s="6" t="s">
        <v>1858</v>
      </c>
      <c r="G239" s="6" t="s">
        <v>1306</v>
      </c>
    </row>
    <row r="240" spans="1:7" ht="69.95" customHeight="1">
      <c r="A240" s="6" t="s">
        <v>1824</v>
      </c>
      <c r="B240" s="6" t="s">
        <v>1859</v>
      </c>
      <c r="C240" s="6" t="s">
        <v>1215</v>
      </c>
      <c r="D240" s="6" t="s">
        <v>1303</v>
      </c>
      <c r="E240" s="6" t="s">
        <v>1304</v>
      </c>
      <c r="F240" s="6" t="s">
        <v>1860</v>
      </c>
      <c r="G240" s="6" t="s">
        <v>1306</v>
      </c>
    </row>
    <row r="241" spans="1:7" ht="69.95" customHeight="1">
      <c r="A241" s="6" t="s">
        <v>1824</v>
      </c>
      <c r="B241" s="6" t="s">
        <v>1861</v>
      </c>
      <c r="C241" s="6" t="s">
        <v>1218</v>
      </c>
      <c r="D241" s="6" t="s">
        <v>1303</v>
      </c>
      <c r="E241" s="6" t="s">
        <v>1304</v>
      </c>
      <c r="F241" s="6" t="s">
        <v>1862</v>
      </c>
      <c r="G241" s="6" t="s">
        <v>1306</v>
      </c>
    </row>
    <row r="242" spans="1:7" ht="69.95" customHeight="1">
      <c r="A242" s="6" t="s">
        <v>1824</v>
      </c>
      <c r="B242" s="6" t="s">
        <v>1337</v>
      </c>
      <c r="C242" s="6" t="s">
        <v>1863</v>
      </c>
      <c r="D242" s="6" t="s">
        <v>1303</v>
      </c>
      <c r="E242" s="6" t="s">
        <v>1304</v>
      </c>
      <c r="F242" s="6" t="s">
        <v>1864</v>
      </c>
      <c r="G242" s="6" t="s">
        <v>1306</v>
      </c>
    </row>
    <row r="243" spans="1:7" ht="69.95" customHeight="1">
      <c r="A243" s="6" t="s">
        <v>1824</v>
      </c>
      <c r="B243" s="6" t="s">
        <v>1865</v>
      </c>
      <c r="C243" s="6" t="s">
        <v>1866</v>
      </c>
      <c r="D243" s="6" t="s">
        <v>1303</v>
      </c>
      <c r="E243" s="6" t="s">
        <v>1304</v>
      </c>
      <c r="F243" s="6" t="s">
        <v>1867</v>
      </c>
      <c r="G243" s="6" t="s">
        <v>1306</v>
      </c>
    </row>
    <row r="244" spans="1:7" ht="69.95" customHeight="1">
      <c r="A244" s="6" t="s">
        <v>1824</v>
      </c>
      <c r="B244" s="6" t="s">
        <v>1868</v>
      </c>
      <c r="C244" s="6" t="s">
        <v>1869</v>
      </c>
      <c r="D244" s="6" t="s">
        <v>1303</v>
      </c>
      <c r="E244" s="6" t="s">
        <v>1304</v>
      </c>
      <c r="F244" s="6" t="s">
        <v>1870</v>
      </c>
      <c r="G244" s="6" t="s">
        <v>1306</v>
      </c>
    </row>
    <row r="245" spans="1:7" ht="69.95" customHeight="1">
      <c r="A245" s="6" t="s">
        <v>1824</v>
      </c>
      <c r="B245" s="6" t="s">
        <v>1871</v>
      </c>
      <c r="C245" s="6" t="s">
        <v>1872</v>
      </c>
      <c r="D245" s="6" t="s">
        <v>1303</v>
      </c>
      <c r="E245" s="6" t="s">
        <v>1304</v>
      </c>
      <c r="F245" s="6" t="s">
        <v>1873</v>
      </c>
      <c r="G245" s="6" t="s">
        <v>1306</v>
      </c>
    </row>
    <row r="246" spans="1:7" ht="69.95" customHeight="1">
      <c r="A246" s="6" t="s">
        <v>1824</v>
      </c>
      <c r="B246" s="6" t="s">
        <v>1595</v>
      </c>
      <c r="C246" s="6" t="s">
        <v>1465</v>
      </c>
      <c r="D246" s="6" t="s">
        <v>1303</v>
      </c>
      <c r="E246" s="6" t="s">
        <v>1304</v>
      </c>
      <c r="F246" s="6" t="s">
        <v>1874</v>
      </c>
      <c r="G246" s="6" t="s">
        <v>1306</v>
      </c>
    </row>
    <row r="247" spans="1:7" ht="69.95" customHeight="1">
      <c r="A247" s="6" t="s">
        <v>1824</v>
      </c>
      <c r="B247" s="6" t="s">
        <v>1597</v>
      </c>
      <c r="C247" s="6" t="s">
        <v>1465</v>
      </c>
      <c r="D247" s="6" t="s">
        <v>1303</v>
      </c>
      <c r="E247" s="6" t="s">
        <v>1304</v>
      </c>
      <c r="F247" s="6" t="s">
        <v>1875</v>
      </c>
      <c r="G247" s="6" t="s">
        <v>1306</v>
      </c>
    </row>
    <row r="248" spans="1:7" ht="69.95" customHeight="1">
      <c r="A248" s="6" t="s">
        <v>1824</v>
      </c>
      <c r="B248" s="6" t="s">
        <v>1599</v>
      </c>
      <c r="C248" s="6" t="s">
        <v>1465</v>
      </c>
      <c r="D248" s="6" t="s">
        <v>1303</v>
      </c>
      <c r="E248" s="6" t="s">
        <v>1304</v>
      </c>
      <c r="F248" s="6" t="s">
        <v>1876</v>
      </c>
      <c r="G248" s="6" t="s">
        <v>1306</v>
      </c>
    </row>
    <row r="249" spans="1:7" ht="69.95" customHeight="1">
      <c r="A249" s="6" t="s">
        <v>1824</v>
      </c>
      <c r="B249" s="6" t="s">
        <v>1601</v>
      </c>
      <c r="C249" s="6" t="s">
        <v>1465</v>
      </c>
      <c r="D249" s="6" t="s">
        <v>1303</v>
      </c>
      <c r="E249" s="6" t="s">
        <v>1304</v>
      </c>
      <c r="F249" s="6" t="s">
        <v>1877</v>
      </c>
      <c r="G249" s="6" t="s">
        <v>1306</v>
      </c>
    </row>
    <row r="250" spans="1:7" ht="69.95" customHeight="1">
      <c r="A250" s="6" t="s">
        <v>1824</v>
      </c>
      <c r="B250" s="6" t="s">
        <v>1603</v>
      </c>
      <c r="C250" s="6" t="s">
        <v>1465</v>
      </c>
      <c r="D250" s="6" t="s">
        <v>1303</v>
      </c>
      <c r="E250" s="6" t="s">
        <v>1304</v>
      </c>
      <c r="F250" s="6" t="s">
        <v>1878</v>
      </c>
      <c r="G250" s="6" t="s">
        <v>1306</v>
      </c>
    </row>
    <row r="251" spans="1:7" ht="69.95" customHeight="1">
      <c r="A251" s="6" t="s">
        <v>1824</v>
      </c>
      <c r="B251" s="6" t="s">
        <v>1605</v>
      </c>
      <c r="C251" s="6" t="s">
        <v>1465</v>
      </c>
      <c r="D251" s="6" t="s">
        <v>1303</v>
      </c>
      <c r="E251" s="6" t="s">
        <v>1304</v>
      </c>
      <c r="F251" s="6" t="s">
        <v>1879</v>
      </c>
      <c r="G251" s="6" t="s">
        <v>1306</v>
      </c>
    </row>
    <row r="252" spans="1:7" ht="69.95" customHeight="1">
      <c r="A252" s="6" t="s">
        <v>1824</v>
      </c>
      <c r="B252" s="6" t="s">
        <v>1607</v>
      </c>
      <c r="C252" s="6" t="s">
        <v>1465</v>
      </c>
      <c r="D252" s="6" t="s">
        <v>1303</v>
      </c>
      <c r="E252" s="6" t="s">
        <v>1304</v>
      </c>
      <c r="F252" s="6" t="s">
        <v>1880</v>
      </c>
      <c r="G252" s="6" t="s">
        <v>1306</v>
      </c>
    </row>
    <row r="253" spans="1:7" ht="69.95" customHeight="1">
      <c r="A253" s="6" t="s">
        <v>1824</v>
      </c>
      <c r="B253" s="6" t="s">
        <v>1609</v>
      </c>
      <c r="C253" s="6" t="s">
        <v>1465</v>
      </c>
      <c r="D253" s="6" t="s">
        <v>1303</v>
      </c>
      <c r="E253" s="6" t="s">
        <v>1304</v>
      </c>
      <c r="F253" s="6" t="s">
        <v>1881</v>
      </c>
      <c r="G253" s="6" t="s">
        <v>1306</v>
      </c>
    </row>
    <row r="254" spans="1:7" ht="69.95" customHeight="1">
      <c r="A254" s="6" t="s">
        <v>1882</v>
      </c>
      <c r="B254" s="6" t="s">
        <v>1883</v>
      </c>
      <c r="C254" s="6" t="s">
        <v>1884</v>
      </c>
      <c r="D254" s="6" t="s">
        <v>1303</v>
      </c>
      <c r="E254" s="6" t="s">
        <v>1304</v>
      </c>
      <c r="F254" s="6" t="s">
        <v>1885</v>
      </c>
      <c r="G254" s="6" t="s">
        <v>1306</v>
      </c>
    </row>
    <row r="255" spans="1:7" ht="69.95" customHeight="1">
      <c r="A255" s="6" t="s">
        <v>1882</v>
      </c>
      <c r="B255" s="6" t="s">
        <v>1886</v>
      </c>
      <c r="C255" s="6" t="s">
        <v>1887</v>
      </c>
      <c r="D255" s="6" t="s">
        <v>1303</v>
      </c>
      <c r="E255" s="6" t="s">
        <v>1304</v>
      </c>
      <c r="F255" s="6" t="s">
        <v>1888</v>
      </c>
      <c r="G255" s="6" t="s">
        <v>1306</v>
      </c>
    </row>
    <row r="256" spans="1:7" ht="69.95" customHeight="1">
      <c r="A256" s="6" t="s">
        <v>1882</v>
      </c>
      <c r="B256" s="6" t="s">
        <v>1889</v>
      </c>
      <c r="C256" s="6" t="s">
        <v>1890</v>
      </c>
      <c r="D256" s="6" t="s">
        <v>1303</v>
      </c>
      <c r="E256" s="6" t="s">
        <v>1304</v>
      </c>
      <c r="F256" s="6" t="s">
        <v>1891</v>
      </c>
      <c r="G256" s="6" t="s">
        <v>1306</v>
      </c>
    </row>
    <row r="257" spans="1:7" ht="69.95" customHeight="1">
      <c r="A257" s="6" t="s">
        <v>1882</v>
      </c>
      <c r="B257" s="6" t="s">
        <v>1892</v>
      </c>
      <c r="C257" s="6" t="s">
        <v>1893</v>
      </c>
      <c r="D257" s="6" t="s">
        <v>1303</v>
      </c>
      <c r="E257" s="6" t="s">
        <v>1304</v>
      </c>
      <c r="F257" s="6" t="s">
        <v>1894</v>
      </c>
      <c r="G257" s="6" t="s">
        <v>1306</v>
      </c>
    </row>
    <row r="258" spans="1:7" ht="69.95" customHeight="1">
      <c r="A258" s="6" t="s">
        <v>1882</v>
      </c>
      <c r="B258" s="6" t="s">
        <v>1895</v>
      </c>
      <c r="C258" s="6" t="s">
        <v>1896</v>
      </c>
      <c r="D258" s="6" t="s">
        <v>1303</v>
      </c>
      <c r="E258" s="6" t="s">
        <v>1304</v>
      </c>
      <c r="F258" s="6" t="s">
        <v>1897</v>
      </c>
      <c r="G258" s="6" t="s">
        <v>1306</v>
      </c>
    </row>
    <row r="259" spans="1:7" ht="69.95" customHeight="1">
      <c r="A259" s="6" t="s">
        <v>1882</v>
      </c>
      <c r="B259" s="6" t="s">
        <v>1898</v>
      </c>
      <c r="C259" s="6" t="s">
        <v>1899</v>
      </c>
      <c r="D259" s="6" t="s">
        <v>1303</v>
      </c>
      <c r="E259" s="6" t="s">
        <v>1304</v>
      </c>
      <c r="F259" s="6" t="s">
        <v>1900</v>
      </c>
      <c r="G259" s="6" t="s">
        <v>1306</v>
      </c>
    </row>
    <row r="260" spans="1:7" ht="69.95" customHeight="1">
      <c r="A260" s="6" t="s">
        <v>1882</v>
      </c>
      <c r="B260" s="6" t="s">
        <v>1901</v>
      </c>
      <c r="C260" s="6" t="s">
        <v>1902</v>
      </c>
      <c r="D260" s="6" t="s">
        <v>1303</v>
      </c>
      <c r="E260" s="6" t="s">
        <v>1304</v>
      </c>
      <c r="F260" s="6" t="s">
        <v>1903</v>
      </c>
      <c r="G260" s="6" t="s">
        <v>1306</v>
      </c>
    </row>
    <row r="261" spans="1:7" ht="69.95" customHeight="1">
      <c r="A261" s="6" t="s">
        <v>1882</v>
      </c>
      <c r="B261" s="6" t="s">
        <v>1904</v>
      </c>
      <c r="C261" s="6" t="s">
        <v>1905</v>
      </c>
      <c r="D261" s="6" t="s">
        <v>1303</v>
      </c>
      <c r="E261" s="6" t="s">
        <v>1304</v>
      </c>
      <c r="F261" s="6" t="s">
        <v>1906</v>
      </c>
      <c r="G261" s="6" t="s">
        <v>1306</v>
      </c>
    </row>
    <row r="262" spans="1:7" ht="69.95" customHeight="1">
      <c r="A262" s="6" t="s">
        <v>1882</v>
      </c>
      <c r="B262" s="6" t="s">
        <v>1907</v>
      </c>
      <c r="C262" s="6" t="s">
        <v>1908</v>
      </c>
      <c r="D262" s="6" t="s">
        <v>1303</v>
      </c>
      <c r="E262" s="6" t="s">
        <v>1304</v>
      </c>
      <c r="F262" s="6" t="s">
        <v>1909</v>
      </c>
      <c r="G262" s="6" t="s">
        <v>1306</v>
      </c>
    </row>
    <row r="263" spans="1:7" ht="69.95" customHeight="1">
      <c r="A263" s="6" t="s">
        <v>1882</v>
      </c>
      <c r="B263" s="6" t="s">
        <v>1910</v>
      </c>
      <c r="C263" s="6" t="s">
        <v>1911</v>
      </c>
      <c r="D263" s="6" t="s">
        <v>1303</v>
      </c>
      <c r="E263" s="6" t="s">
        <v>1304</v>
      </c>
      <c r="F263" s="6" t="s">
        <v>1912</v>
      </c>
      <c r="G263" s="6" t="s">
        <v>1306</v>
      </c>
    </row>
    <row r="264" spans="1:7" ht="69.95" customHeight="1">
      <c r="A264" s="6" t="s">
        <v>1882</v>
      </c>
      <c r="B264" s="6" t="s">
        <v>1913</v>
      </c>
      <c r="C264" s="6" t="s">
        <v>1914</v>
      </c>
      <c r="D264" s="6" t="s">
        <v>1303</v>
      </c>
      <c r="E264" s="6" t="s">
        <v>1304</v>
      </c>
      <c r="F264" s="6" t="s">
        <v>1915</v>
      </c>
      <c r="G264" s="6" t="s">
        <v>1306</v>
      </c>
    </row>
    <row r="265" spans="1:7" ht="69.95" customHeight="1">
      <c r="A265" s="6" t="s">
        <v>1882</v>
      </c>
      <c r="B265" s="6" t="s">
        <v>1916</v>
      </c>
      <c r="C265" s="6" t="s">
        <v>1917</v>
      </c>
      <c r="D265" s="6" t="s">
        <v>1303</v>
      </c>
      <c r="E265" s="6" t="s">
        <v>1304</v>
      </c>
      <c r="F265" s="6" t="s">
        <v>1918</v>
      </c>
      <c r="G265" s="6" t="s">
        <v>1306</v>
      </c>
    </row>
    <row r="266" spans="1:7" ht="69.95" customHeight="1">
      <c r="A266" s="6" t="s">
        <v>1882</v>
      </c>
      <c r="B266" s="6" t="s">
        <v>1919</v>
      </c>
      <c r="C266" s="6" t="s">
        <v>1920</v>
      </c>
      <c r="D266" s="6" t="s">
        <v>1303</v>
      </c>
      <c r="E266" s="6" t="s">
        <v>1304</v>
      </c>
      <c r="F266" s="6" t="s">
        <v>1921</v>
      </c>
      <c r="G266" s="6" t="s">
        <v>1306</v>
      </c>
    </row>
    <row r="267" spans="1:7" ht="69.95" customHeight="1">
      <c r="A267" s="6" t="s">
        <v>1882</v>
      </c>
      <c r="B267" s="6" t="s">
        <v>1922</v>
      </c>
      <c r="C267" s="6" t="s">
        <v>1923</v>
      </c>
      <c r="D267" s="6" t="s">
        <v>1303</v>
      </c>
      <c r="E267" s="6" t="s">
        <v>1304</v>
      </c>
      <c r="F267" s="6" t="s">
        <v>1924</v>
      </c>
      <c r="G267" s="6" t="s">
        <v>1306</v>
      </c>
    </row>
    <row r="268" spans="1:7" ht="69.95" customHeight="1">
      <c r="A268" s="6" t="s">
        <v>1882</v>
      </c>
      <c r="B268" s="6" t="s">
        <v>1925</v>
      </c>
      <c r="C268" s="6" t="s">
        <v>1926</v>
      </c>
      <c r="D268" s="6" t="s">
        <v>1303</v>
      </c>
      <c r="E268" s="6" t="s">
        <v>1304</v>
      </c>
      <c r="F268" s="6" t="s">
        <v>1927</v>
      </c>
      <c r="G268" s="6" t="s">
        <v>1306</v>
      </c>
    </row>
    <row r="269" spans="1:7" ht="69.95" customHeight="1">
      <c r="A269" s="6" t="s">
        <v>1882</v>
      </c>
      <c r="B269" s="6" t="s">
        <v>1928</v>
      </c>
      <c r="C269" s="6" t="s">
        <v>1929</v>
      </c>
      <c r="D269" s="6" t="s">
        <v>1303</v>
      </c>
      <c r="E269" s="6" t="s">
        <v>1304</v>
      </c>
      <c r="F269" s="6" t="s">
        <v>1930</v>
      </c>
      <c r="G269" s="6" t="s">
        <v>1306</v>
      </c>
    </row>
    <row r="270" spans="1:7" ht="69.95" customHeight="1">
      <c r="A270" s="6" t="s">
        <v>1882</v>
      </c>
      <c r="B270" s="6" t="s">
        <v>1931</v>
      </c>
      <c r="C270" s="6" t="s">
        <v>1932</v>
      </c>
      <c r="D270" s="6" t="s">
        <v>1303</v>
      </c>
      <c r="E270" s="6" t="s">
        <v>1304</v>
      </c>
      <c r="F270" s="6" t="s">
        <v>1933</v>
      </c>
      <c r="G270" s="6" t="s">
        <v>1306</v>
      </c>
    </row>
    <row r="271" spans="1:7" ht="69.95" customHeight="1">
      <c r="A271" s="6" t="s">
        <v>1882</v>
      </c>
      <c r="B271" s="6" t="s">
        <v>1934</v>
      </c>
      <c r="C271" s="6" t="s">
        <v>1935</v>
      </c>
      <c r="D271" s="6" t="s">
        <v>1303</v>
      </c>
      <c r="E271" s="6" t="s">
        <v>1304</v>
      </c>
      <c r="F271" s="6" t="s">
        <v>1936</v>
      </c>
      <c r="G271" s="6" t="s">
        <v>1306</v>
      </c>
    </row>
    <row r="272" spans="1:7" ht="69.95" customHeight="1">
      <c r="A272" s="6" t="s">
        <v>1882</v>
      </c>
      <c r="B272" s="6" t="s">
        <v>1937</v>
      </c>
      <c r="C272" s="6" t="s">
        <v>1938</v>
      </c>
      <c r="D272" s="6" t="s">
        <v>1303</v>
      </c>
      <c r="E272" s="6" t="s">
        <v>1304</v>
      </c>
      <c r="F272" s="6" t="s">
        <v>1939</v>
      </c>
      <c r="G272" s="6" t="s">
        <v>1306</v>
      </c>
    </row>
    <row r="273" spans="1:7" ht="69.95" customHeight="1">
      <c r="A273" s="6" t="s">
        <v>1882</v>
      </c>
      <c r="B273" s="6" t="s">
        <v>1940</v>
      </c>
      <c r="C273" s="6" t="s">
        <v>1941</v>
      </c>
      <c r="D273" s="6" t="s">
        <v>1303</v>
      </c>
      <c r="E273" s="6" t="s">
        <v>1304</v>
      </c>
      <c r="F273" s="6" t="s">
        <v>1942</v>
      </c>
      <c r="G273" s="6" t="s">
        <v>1306</v>
      </c>
    </row>
    <row r="274" spans="1:7" ht="69.95" customHeight="1">
      <c r="A274" s="6" t="s">
        <v>1882</v>
      </c>
      <c r="B274" s="6" t="s">
        <v>1943</v>
      </c>
      <c r="C274" s="6" t="s">
        <v>1944</v>
      </c>
      <c r="D274" s="6" t="s">
        <v>1303</v>
      </c>
      <c r="E274" s="6" t="s">
        <v>1304</v>
      </c>
      <c r="F274" s="6" t="s">
        <v>1945</v>
      </c>
      <c r="G274" s="6" t="s">
        <v>1306</v>
      </c>
    </row>
    <row r="275" spans="1:7" ht="69.95" customHeight="1">
      <c r="A275" s="6" t="s">
        <v>1882</v>
      </c>
      <c r="B275" s="6" t="s">
        <v>1946</v>
      </c>
      <c r="C275" s="6" t="s">
        <v>1947</v>
      </c>
      <c r="D275" s="6" t="s">
        <v>1303</v>
      </c>
      <c r="E275" s="6" t="s">
        <v>1304</v>
      </c>
      <c r="F275" s="6" t="s">
        <v>1948</v>
      </c>
      <c r="G275" s="6" t="s">
        <v>1306</v>
      </c>
    </row>
    <row r="276" spans="1:7" ht="69.95" customHeight="1">
      <c r="A276" s="6" t="s">
        <v>1882</v>
      </c>
      <c r="B276" s="6" t="s">
        <v>1949</v>
      </c>
      <c r="C276" s="6" t="s">
        <v>1950</v>
      </c>
      <c r="D276" s="6" t="s">
        <v>1303</v>
      </c>
      <c r="E276" s="6" t="s">
        <v>1951</v>
      </c>
      <c r="F276" s="6" t="s">
        <v>1952</v>
      </c>
      <c r="G276" s="6" t="s">
        <v>1306</v>
      </c>
    </row>
    <row r="277" spans="1:7" ht="69.95" customHeight="1">
      <c r="A277" s="6" t="s">
        <v>1882</v>
      </c>
      <c r="B277" s="6" t="s">
        <v>1953</v>
      </c>
      <c r="C277" s="6" t="s">
        <v>1954</v>
      </c>
      <c r="D277" s="6" t="s">
        <v>1303</v>
      </c>
      <c r="E277" s="6" t="s">
        <v>1304</v>
      </c>
      <c r="F277" s="6" t="s">
        <v>1955</v>
      </c>
      <c r="G277" s="6" t="s">
        <v>1306</v>
      </c>
    </row>
    <row r="278" spans="1:7" ht="69.95" customHeight="1">
      <c r="A278" s="6" t="s">
        <v>1882</v>
      </c>
      <c r="B278" s="6" t="s">
        <v>1956</v>
      </c>
      <c r="C278" s="6" t="s">
        <v>1957</v>
      </c>
      <c r="D278" s="6" t="s">
        <v>1303</v>
      </c>
      <c r="E278" s="6" t="s">
        <v>1304</v>
      </c>
      <c r="F278" s="6" t="s">
        <v>1958</v>
      </c>
      <c r="G278" s="6" t="s">
        <v>1306</v>
      </c>
    </row>
    <row r="279" spans="1:7" ht="69.95" customHeight="1">
      <c r="A279" s="6" t="s">
        <v>1882</v>
      </c>
      <c r="B279" s="6" t="s">
        <v>1959</v>
      </c>
      <c r="C279" s="6" t="s">
        <v>1960</v>
      </c>
      <c r="D279" s="6" t="s">
        <v>1303</v>
      </c>
      <c r="E279" s="6" t="s">
        <v>1304</v>
      </c>
      <c r="F279" s="6" t="s">
        <v>1961</v>
      </c>
      <c r="G279" s="6" t="s">
        <v>1306</v>
      </c>
    </row>
    <row r="280" spans="1:7" ht="69.95" customHeight="1">
      <c r="A280" s="6" t="s">
        <v>1882</v>
      </c>
      <c r="B280" s="6" t="s">
        <v>1962</v>
      </c>
      <c r="C280" s="6" t="s">
        <v>1963</v>
      </c>
      <c r="D280" s="6" t="s">
        <v>1303</v>
      </c>
      <c r="E280" s="6" t="s">
        <v>1304</v>
      </c>
      <c r="F280" s="6" t="s">
        <v>1964</v>
      </c>
      <c r="G280" s="6" t="s">
        <v>1306</v>
      </c>
    </row>
    <row r="281" spans="1:7" ht="69.95" customHeight="1">
      <c r="A281" s="6" t="s">
        <v>1882</v>
      </c>
      <c r="B281" s="6" t="s">
        <v>1965</v>
      </c>
      <c r="C281" s="6" t="s">
        <v>1966</v>
      </c>
      <c r="D281" s="6" t="s">
        <v>1303</v>
      </c>
      <c r="E281" s="6" t="s">
        <v>1304</v>
      </c>
      <c r="F281" s="6" t="s">
        <v>1967</v>
      </c>
      <c r="G281" s="6" t="s">
        <v>1306</v>
      </c>
    </row>
    <row r="282" spans="1:7" ht="69.95" customHeight="1">
      <c r="A282" s="6" t="s">
        <v>1882</v>
      </c>
      <c r="B282" s="6" t="s">
        <v>1968</v>
      </c>
      <c r="C282" s="6" t="s">
        <v>1969</v>
      </c>
      <c r="D282" s="6" t="s">
        <v>1303</v>
      </c>
      <c r="E282" s="6" t="s">
        <v>1304</v>
      </c>
      <c r="F282" s="6" t="s">
        <v>1970</v>
      </c>
      <c r="G282" s="6" t="s">
        <v>1306</v>
      </c>
    </row>
    <row r="283" spans="1:7" ht="69.95" customHeight="1">
      <c r="A283" s="6" t="s">
        <v>1882</v>
      </c>
      <c r="B283" s="6" t="s">
        <v>1971</v>
      </c>
      <c r="C283" s="6" t="s">
        <v>1972</v>
      </c>
      <c r="D283" s="6" t="s">
        <v>1303</v>
      </c>
      <c r="E283" s="6" t="s">
        <v>1304</v>
      </c>
      <c r="F283" s="6" t="s">
        <v>1973</v>
      </c>
      <c r="G283" s="6" t="s">
        <v>1306</v>
      </c>
    </row>
    <row r="284" spans="1:7" ht="69.95" customHeight="1">
      <c r="A284" s="6" t="s">
        <v>1974</v>
      </c>
      <c r="B284" s="6" t="s">
        <v>1975</v>
      </c>
      <c r="C284" s="6" t="s">
        <v>1976</v>
      </c>
      <c r="D284" s="6" t="s">
        <v>1303</v>
      </c>
      <c r="E284" s="6" t="s">
        <v>1304</v>
      </c>
      <c r="F284" s="6" t="s">
        <v>1977</v>
      </c>
      <c r="G284" s="6" t="s">
        <v>1306</v>
      </c>
    </row>
    <row r="285" spans="1:7" ht="69.95" customHeight="1">
      <c r="A285" s="6" t="s">
        <v>1974</v>
      </c>
      <c r="B285" s="6" t="s">
        <v>1978</v>
      </c>
      <c r="C285" s="6" t="s">
        <v>1979</v>
      </c>
      <c r="D285" s="6" t="s">
        <v>1303</v>
      </c>
      <c r="E285" s="6" t="s">
        <v>1304</v>
      </c>
      <c r="F285" s="6" t="s">
        <v>1980</v>
      </c>
      <c r="G285" s="6" t="s">
        <v>1306</v>
      </c>
    </row>
    <row r="286" spans="1:7" ht="69.95" customHeight="1">
      <c r="A286" s="6" t="s">
        <v>1974</v>
      </c>
      <c r="B286" s="6" t="s">
        <v>1981</v>
      </c>
      <c r="C286" s="6" t="s">
        <v>1982</v>
      </c>
      <c r="D286" s="6" t="s">
        <v>1303</v>
      </c>
      <c r="E286" s="6" t="s">
        <v>1304</v>
      </c>
      <c r="F286" s="6" t="s">
        <v>1983</v>
      </c>
      <c r="G286" s="6" t="s">
        <v>1306</v>
      </c>
    </row>
    <row r="287" spans="1:7" ht="69.95" customHeight="1">
      <c r="A287" s="6" t="s">
        <v>1974</v>
      </c>
      <c r="B287" s="6" t="s">
        <v>1984</v>
      </c>
      <c r="C287" s="6" t="s">
        <v>1985</v>
      </c>
      <c r="D287" s="6" t="s">
        <v>1303</v>
      </c>
      <c r="E287" s="6" t="s">
        <v>1304</v>
      </c>
      <c r="F287" s="6" t="s">
        <v>1986</v>
      </c>
      <c r="G287" s="6" t="s">
        <v>1306</v>
      </c>
    </row>
    <row r="288" spans="1:7" ht="69.95" customHeight="1">
      <c r="A288" s="6" t="s">
        <v>1974</v>
      </c>
      <c r="B288" s="6" t="s">
        <v>1987</v>
      </c>
      <c r="C288" s="6" t="s">
        <v>1988</v>
      </c>
      <c r="D288" s="6" t="s">
        <v>1303</v>
      </c>
      <c r="E288" s="6" t="s">
        <v>1304</v>
      </c>
      <c r="F288" s="6" t="s">
        <v>1989</v>
      </c>
      <c r="G288" s="6" t="s">
        <v>1306</v>
      </c>
    </row>
    <row r="289" spans="1:7" ht="69.95" customHeight="1">
      <c r="A289" s="6" t="s">
        <v>1974</v>
      </c>
      <c r="B289" s="6" t="s">
        <v>1990</v>
      </c>
      <c r="C289" s="6" t="s">
        <v>1991</v>
      </c>
      <c r="D289" s="6" t="s">
        <v>1303</v>
      </c>
      <c r="E289" s="6" t="s">
        <v>1304</v>
      </c>
      <c r="F289" s="6" t="s">
        <v>1992</v>
      </c>
      <c r="G289" s="6" t="s">
        <v>1306</v>
      </c>
    </row>
    <row r="290" spans="1:7" ht="69.95" customHeight="1">
      <c r="A290" s="6" t="s">
        <v>1974</v>
      </c>
      <c r="B290" s="6" t="s">
        <v>1993</v>
      </c>
      <c r="C290" s="6" t="s">
        <v>1994</v>
      </c>
      <c r="D290" s="6" t="s">
        <v>1303</v>
      </c>
      <c r="E290" s="6" t="s">
        <v>1304</v>
      </c>
      <c r="F290" s="6" t="s">
        <v>1995</v>
      </c>
      <c r="G290" s="6" t="s">
        <v>1306</v>
      </c>
    </row>
    <row r="291" spans="1:7" ht="69.95" customHeight="1">
      <c r="A291" s="6" t="s">
        <v>1974</v>
      </c>
      <c r="B291" s="6" t="s">
        <v>1996</v>
      </c>
      <c r="C291" s="6" t="s">
        <v>1997</v>
      </c>
      <c r="D291" s="6" t="s">
        <v>1303</v>
      </c>
      <c r="E291" s="6" t="s">
        <v>1304</v>
      </c>
      <c r="F291" s="6" t="s">
        <v>1998</v>
      </c>
      <c r="G291" s="6" t="s">
        <v>1306</v>
      </c>
    </row>
    <row r="292" spans="1:7" ht="69.95" customHeight="1">
      <c r="A292" s="6" t="s">
        <v>1974</v>
      </c>
      <c r="B292" s="6" t="s">
        <v>1999</v>
      </c>
      <c r="C292" s="6" t="s">
        <v>2000</v>
      </c>
      <c r="D292" s="6" t="s">
        <v>1303</v>
      </c>
      <c r="E292" s="6" t="s">
        <v>1304</v>
      </c>
      <c r="F292" s="6" t="s">
        <v>2001</v>
      </c>
      <c r="G292" s="6" t="s">
        <v>1306</v>
      </c>
    </row>
    <row r="293" spans="1:7" ht="69.95" customHeight="1">
      <c r="A293" s="6" t="s">
        <v>1974</v>
      </c>
      <c r="B293" s="6" t="s">
        <v>2002</v>
      </c>
      <c r="C293" s="6" t="s">
        <v>2003</v>
      </c>
      <c r="D293" s="6" t="s">
        <v>1303</v>
      </c>
      <c r="E293" s="6" t="s">
        <v>1304</v>
      </c>
      <c r="F293" s="6" t="s">
        <v>2004</v>
      </c>
      <c r="G293" s="6" t="s">
        <v>1306</v>
      </c>
    </row>
    <row r="294" spans="1:7" ht="69.95" customHeight="1">
      <c r="A294" s="6" t="s">
        <v>1974</v>
      </c>
      <c r="B294" s="6" t="s">
        <v>2005</v>
      </c>
      <c r="C294" s="6" t="s">
        <v>2006</v>
      </c>
      <c r="D294" s="6" t="s">
        <v>1303</v>
      </c>
      <c r="E294" s="6" t="s">
        <v>1304</v>
      </c>
      <c r="F294" s="6" t="s">
        <v>2007</v>
      </c>
      <c r="G294" s="6" t="s">
        <v>1306</v>
      </c>
    </row>
    <row r="295" spans="1:7" ht="69.95" customHeight="1">
      <c r="A295" s="6" t="s">
        <v>1974</v>
      </c>
      <c r="B295" s="6" t="s">
        <v>2008</v>
      </c>
      <c r="C295" s="6" t="s">
        <v>2009</v>
      </c>
      <c r="D295" s="6" t="s">
        <v>1303</v>
      </c>
      <c r="E295" s="6" t="s">
        <v>1304</v>
      </c>
      <c r="F295" s="6" t="s">
        <v>2010</v>
      </c>
      <c r="G295" s="6" t="s">
        <v>1306</v>
      </c>
    </row>
    <row r="296" spans="1:7" ht="69.95" customHeight="1">
      <c r="A296" s="6" t="s">
        <v>1974</v>
      </c>
      <c r="B296" s="6" t="s">
        <v>2011</v>
      </c>
      <c r="C296" s="6" t="s">
        <v>2012</v>
      </c>
      <c r="D296" s="6" t="s">
        <v>1303</v>
      </c>
      <c r="E296" s="6" t="s">
        <v>1304</v>
      </c>
      <c r="F296" s="6" t="s">
        <v>2013</v>
      </c>
      <c r="G296" s="6" t="s">
        <v>1306</v>
      </c>
    </row>
    <row r="297" spans="1:7" ht="69.95" customHeight="1">
      <c r="A297" s="6" t="s">
        <v>1974</v>
      </c>
      <c r="B297" s="6" t="s">
        <v>2014</v>
      </c>
      <c r="C297" s="6" t="s">
        <v>2015</v>
      </c>
      <c r="D297" s="6" t="s">
        <v>1303</v>
      </c>
      <c r="E297" s="6" t="s">
        <v>1304</v>
      </c>
      <c r="F297" s="6" t="s">
        <v>2016</v>
      </c>
      <c r="G297" s="6" t="s">
        <v>1306</v>
      </c>
    </row>
    <row r="298" spans="1:7" ht="69.95" customHeight="1">
      <c r="A298" s="6" t="s">
        <v>1974</v>
      </c>
      <c r="B298" s="6" t="s">
        <v>2017</v>
      </c>
      <c r="C298" s="6" t="s">
        <v>2018</v>
      </c>
      <c r="D298" s="6" t="s">
        <v>1303</v>
      </c>
      <c r="E298" s="6" t="s">
        <v>1304</v>
      </c>
      <c r="F298" s="6" t="s">
        <v>2019</v>
      </c>
      <c r="G298" s="6" t="s">
        <v>1306</v>
      </c>
    </row>
    <row r="299" spans="1:7" ht="69.95" customHeight="1">
      <c r="A299" s="6" t="s">
        <v>1974</v>
      </c>
      <c r="B299" s="6" t="s">
        <v>2020</v>
      </c>
      <c r="C299" s="6" t="s">
        <v>2021</v>
      </c>
      <c r="D299" s="6" t="s">
        <v>1303</v>
      </c>
      <c r="E299" s="6" t="s">
        <v>1304</v>
      </c>
      <c r="F299" s="6" t="s">
        <v>2022</v>
      </c>
      <c r="G299" s="6" t="s">
        <v>1306</v>
      </c>
    </row>
    <row r="300" spans="1:7" ht="69.95" customHeight="1">
      <c r="A300" s="6" t="s">
        <v>1974</v>
      </c>
      <c r="B300" s="6" t="s">
        <v>2023</v>
      </c>
      <c r="C300" s="6" t="s">
        <v>2024</v>
      </c>
      <c r="D300" s="6" t="s">
        <v>1303</v>
      </c>
      <c r="E300" s="6" t="s">
        <v>1304</v>
      </c>
      <c r="F300" s="6" t="s">
        <v>2025</v>
      </c>
      <c r="G300" s="6" t="s">
        <v>1306</v>
      </c>
    </row>
    <row r="301" spans="1:7" ht="69.95" customHeight="1">
      <c r="A301" s="6" t="s">
        <v>1974</v>
      </c>
      <c r="B301" s="6" t="s">
        <v>2026</v>
      </c>
      <c r="C301" s="6" t="s">
        <v>2027</v>
      </c>
      <c r="D301" s="6" t="s">
        <v>1303</v>
      </c>
      <c r="E301" s="6" t="s">
        <v>1304</v>
      </c>
      <c r="F301" s="6" t="s">
        <v>2028</v>
      </c>
      <c r="G301" s="6" t="s">
        <v>1306</v>
      </c>
    </row>
    <row r="302" spans="1:7" ht="69.95" customHeight="1">
      <c r="A302" s="6" t="s">
        <v>1974</v>
      </c>
      <c r="B302" s="6" t="s">
        <v>2029</v>
      </c>
      <c r="C302" s="6" t="s">
        <v>2030</v>
      </c>
      <c r="D302" s="6" t="s">
        <v>1303</v>
      </c>
      <c r="E302" s="6" t="s">
        <v>1304</v>
      </c>
      <c r="F302" s="6" t="s">
        <v>2031</v>
      </c>
      <c r="G302" s="6" t="s">
        <v>1306</v>
      </c>
    </row>
    <row r="303" spans="1:7" ht="69.95" customHeight="1">
      <c r="A303" s="6" t="s">
        <v>1974</v>
      </c>
      <c r="B303" s="6" t="s">
        <v>2032</v>
      </c>
      <c r="C303" s="6" t="s">
        <v>2033</v>
      </c>
      <c r="D303" s="6" t="s">
        <v>1303</v>
      </c>
      <c r="E303" s="6" t="s">
        <v>1304</v>
      </c>
      <c r="F303" s="6" t="s">
        <v>2034</v>
      </c>
      <c r="G303" s="6" t="s">
        <v>1306</v>
      </c>
    </row>
    <row r="304" spans="1:7" ht="69.95" customHeight="1">
      <c r="A304" s="6" t="s">
        <v>1974</v>
      </c>
      <c r="B304" s="6" t="s">
        <v>2035</v>
      </c>
      <c r="C304" s="6" t="s">
        <v>2036</v>
      </c>
      <c r="D304" s="6" t="s">
        <v>1303</v>
      </c>
      <c r="E304" s="6" t="s">
        <v>1304</v>
      </c>
      <c r="F304" s="6" t="s">
        <v>2037</v>
      </c>
      <c r="G304" s="6" t="s">
        <v>1306</v>
      </c>
    </row>
    <row r="305" spans="1:7" ht="69.95" customHeight="1">
      <c r="A305" s="6" t="s">
        <v>1974</v>
      </c>
      <c r="B305" s="6" t="s">
        <v>2038</v>
      </c>
      <c r="C305" s="6" t="s">
        <v>2039</v>
      </c>
      <c r="D305" s="6" t="s">
        <v>1303</v>
      </c>
      <c r="E305" s="6" t="s">
        <v>1304</v>
      </c>
      <c r="F305" s="6" t="s">
        <v>2040</v>
      </c>
      <c r="G305" s="6" t="s">
        <v>1306</v>
      </c>
    </row>
    <row r="306" spans="1:7" ht="69.95" customHeight="1">
      <c r="A306" s="6" t="s">
        <v>1974</v>
      </c>
      <c r="B306" s="6" t="s">
        <v>2041</v>
      </c>
      <c r="C306" s="6" t="s">
        <v>2042</v>
      </c>
      <c r="D306" s="6" t="s">
        <v>1303</v>
      </c>
      <c r="E306" s="6" t="s">
        <v>1304</v>
      </c>
      <c r="F306" s="6" t="s">
        <v>2043</v>
      </c>
      <c r="G306" s="6" t="s">
        <v>1306</v>
      </c>
    </row>
    <row r="307" spans="1:7" ht="69.95" customHeight="1">
      <c r="A307" s="6" t="s">
        <v>1974</v>
      </c>
      <c r="B307" s="6" t="s">
        <v>2044</v>
      </c>
      <c r="C307" s="6" t="s">
        <v>2045</v>
      </c>
      <c r="D307" s="6" t="s">
        <v>1303</v>
      </c>
      <c r="E307" s="6" t="s">
        <v>1304</v>
      </c>
      <c r="F307" s="6" t="s">
        <v>2046</v>
      </c>
      <c r="G307" s="6" t="s">
        <v>1306</v>
      </c>
    </row>
    <row r="308" spans="1:7" ht="69.95" customHeight="1">
      <c r="A308" s="6" t="s">
        <v>1974</v>
      </c>
      <c r="B308" s="6" t="s">
        <v>2047</v>
      </c>
      <c r="C308" s="6" t="s">
        <v>2048</v>
      </c>
      <c r="D308" s="6" t="s">
        <v>1303</v>
      </c>
      <c r="E308" s="6" t="s">
        <v>1304</v>
      </c>
      <c r="F308" s="6" t="s">
        <v>2049</v>
      </c>
      <c r="G308" s="6" t="s">
        <v>1306</v>
      </c>
    </row>
    <row r="309" spans="1:7" ht="69.95" customHeight="1">
      <c r="A309" s="6" t="s">
        <v>1974</v>
      </c>
      <c r="B309" s="6" t="s">
        <v>2050</v>
      </c>
      <c r="C309" s="6" t="s">
        <v>2051</v>
      </c>
      <c r="D309" s="6" t="s">
        <v>1303</v>
      </c>
      <c r="E309" s="6" t="s">
        <v>1304</v>
      </c>
      <c r="F309" s="6" t="s">
        <v>2052</v>
      </c>
      <c r="G309" s="6" t="s">
        <v>1306</v>
      </c>
    </row>
    <row r="310" spans="1:7" ht="69.95" customHeight="1">
      <c r="A310" s="6" t="s">
        <v>1974</v>
      </c>
      <c r="B310" s="6" t="s">
        <v>2053</v>
      </c>
      <c r="C310" s="6" t="s">
        <v>2054</v>
      </c>
      <c r="D310" s="6" t="s">
        <v>1303</v>
      </c>
      <c r="E310" s="6" t="s">
        <v>1304</v>
      </c>
      <c r="F310" s="6" t="s">
        <v>2055</v>
      </c>
      <c r="G310" s="6" t="s">
        <v>1306</v>
      </c>
    </row>
    <row r="311" spans="1:7" ht="69.95" customHeight="1">
      <c r="A311" s="6" t="s">
        <v>1974</v>
      </c>
      <c r="B311" s="6" t="s">
        <v>2056</v>
      </c>
      <c r="C311" s="6" t="s">
        <v>2057</v>
      </c>
      <c r="D311" s="6" t="s">
        <v>1303</v>
      </c>
      <c r="E311" s="6" t="s">
        <v>1304</v>
      </c>
      <c r="F311" s="6" t="s">
        <v>2058</v>
      </c>
      <c r="G311" s="6" t="s">
        <v>1306</v>
      </c>
    </row>
    <row r="312" spans="1:7" ht="69.95" customHeight="1">
      <c r="A312" s="6" t="s">
        <v>1974</v>
      </c>
      <c r="B312" s="6" t="s">
        <v>2059</v>
      </c>
      <c r="C312" s="6" t="s">
        <v>2060</v>
      </c>
      <c r="D312" s="6" t="s">
        <v>1303</v>
      </c>
      <c r="E312" s="6" t="s">
        <v>1304</v>
      </c>
      <c r="F312" s="6" t="s">
        <v>2061</v>
      </c>
      <c r="G312" s="6" t="s">
        <v>1306</v>
      </c>
    </row>
    <row r="313" spans="1:7" ht="69.95" customHeight="1">
      <c r="A313" s="6" t="s">
        <v>1974</v>
      </c>
      <c r="B313" s="6" t="s">
        <v>2062</v>
      </c>
      <c r="C313" s="6" t="s">
        <v>2063</v>
      </c>
      <c r="D313" s="6" t="s">
        <v>1303</v>
      </c>
      <c r="E313" s="6" t="s">
        <v>1304</v>
      </c>
      <c r="F313" s="6" t="s">
        <v>2064</v>
      </c>
      <c r="G313" s="6" t="s">
        <v>1306</v>
      </c>
    </row>
    <row r="314" spans="1:7" ht="69.95" customHeight="1">
      <c r="A314" s="6" t="s">
        <v>1974</v>
      </c>
      <c r="B314" s="6" t="s">
        <v>2065</v>
      </c>
      <c r="C314" s="6" t="s">
        <v>2066</v>
      </c>
      <c r="D314" s="6" t="s">
        <v>1303</v>
      </c>
      <c r="E314" s="6" t="s">
        <v>1304</v>
      </c>
      <c r="F314" s="6" t="s">
        <v>2067</v>
      </c>
      <c r="G314" s="6" t="s">
        <v>1306</v>
      </c>
    </row>
    <row r="315" spans="1:7" ht="69.95" customHeight="1">
      <c r="A315" s="6" t="s">
        <v>1974</v>
      </c>
      <c r="B315" s="6" t="s">
        <v>2068</v>
      </c>
      <c r="C315" s="6" t="s">
        <v>2069</v>
      </c>
      <c r="D315" s="6" t="s">
        <v>1303</v>
      </c>
      <c r="E315" s="6" t="s">
        <v>1304</v>
      </c>
      <c r="F315" s="6" t="s">
        <v>2070</v>
      </c>
      <c r="G315" s="6" t="s">
        <v>1306</v>
      </c>
    </row>
    <row r="316" spans="1:7" ht="69.95" customHeight="1">
      <c r="A316" s="6" t="s">
        <v>1974</v>
      </c>
      <c r="B316" s="6" t="s">
        <v>2071</v>
      </c>
      <c r="C316" s="6" t="s">
        <v>2072</v>
      </c>
      <c r="D316" s="6" t="s">
        <v>1303</v>
      </c>
      <c r="E316" s="6" t="s">
        <v>1304</v>
      </c>
      <c r="F316" s="6" t="s">
        <v>2073</v>
      </c>
      <c r="G316" s="6" t="s">
        <v>1306</v>
      </c>
    </row>
    <row r="317" spans="1:7" ht="69.95" customHeight="1">
      <c r="A317" s="6" t="s">
        <v>1974</v>
      </c>
      <c r="B317" s="6" t="s">
        <v>2074</v>
      </c>
      <c r="C317" s="6" t="s">
        <v>2075</v>
      </c>
      <c r="D317" s="6" t="s">
        <v>1303</v>
      </c>
      <c r="E317" s="6" t="s">
        <v>1304</v>
      </c>
      <c r="F317" s="6" t="s">
        <v>2076</v>
      </c>
      <c r="G317" s="6" t="s">
        <v>1306</v>
      </c>
    </row>
    <row r="318" spans="1:7" ht="69.95" customHeight="1">
      <c r="A318" s="6" t="s">
        <v>1974</v>
      </c>
      <c r="B318" s="6" t="s">
        <v>2077</v>
      </c>
      <c r="C318" s="6" t="s">
        <v>2078</v>
      </c>
      <c r="D318" s="6" t="s">
        <v>1303</v>
      </c>
      <c r="E318" s="6" t="s">
        <v>1304</v>
      </c>
      <c r="F318" s="6" t="s">
        <v>2079</v>
      </c>
      <c r="G318" s="6" t="s">
        <v>1306</v>
      </c>
    </row>
    <row r="319" spans="1:7" ht="69.95" customHeight="1">
      <c r="A319" s="6" t="s">
        <v>1974</v>
      </c>
      <c r="B319" s="6" t="s">
        <v>2080</v>
      </c>
      <c r="C319" s="6" t="s">
        <v>2081</v>
      </c>
      <c r="D319" s="6" t="s">
        <v>1303</v>
      </c>
      <c r="E319" s="6" t="s">
        <v>1304</v>
      </c>
      <c r="F319" s="6" t="s">
        <v>2082</v>
      </c>
      <c r="G319" s="6" t="s">
        <v>1306</v>
      </c>
    </row>
    <row r="320" spans="1:7" ht="69.95" customHeight="1">
      <c r="A320" s="6" t="s">
        <v>2083</v>
      </c>
      <c r="B320" s="6" t="s">
        <v>2084</v>
      </c>
      <c r="C320" s="6" t="s">
        <v>2085</v>
      </c>
      <c r="D320" s="6" t="s">
        <v>1303</v>
      </c>
      <c r="E320" s="6" t="s">
        <v>1304</v>
      </c>
      <c r="F320" s="6" t="s">
        <v>2086</v>
      </c>
      <c r="G320" s="6" t="s">
        <v>1306</v>
      </c>
    </row>
    <row r="321" spans="1:7" ht="69.95" customHeight="1">
      <c r="A321" s="6" t="s">
        <v>2083</v>
      </c>
      <c r="B321" s="6" t="s">
        <v>2087</v>
      </c>
      <c r="C321" s="6" t="s">
        <v>2088</v>
      </c>
      <c r="D321" s="6" t="s">
        <v>1303</v>
      </c>
      <c r="E321" s="6" t="s">
        <v>1304</v>
      </c>
      <c r="F321" s="6" t="s">
        <v>2089</v>
      </c>
      <c r="G321" s="6" t="s">
        <v>1306</v>
      </c>
    </row>
    <row r="322" spans="1:7" ht="69.95" customHeight="1">
      <c r="A322" s="6" t="s">
        <v>2083</v>
      </c>
      <c r="B322" s="6" t="s">
        <v>2090</v>
      </c>
      <c r="C322" s="6" t="s">
        <v>2091</v>
      </c>
      <c r="D322" s="6" t="s">
        <v>1303</v>
      </c>
      <c r="E322" s="6" t="s">
        <v>1304</v>
      </c>
      <c r="F322" s="6" t="s">
        <v>2092</v>
      </c>
      <c r="G322" s="6" t="s">
        <v>1306</v>
      </c>
    </row>
    <row r="323" spans="1:7" ht="69.95" customHeight="1">
      <c r="A323" s="6" t="s">
        <v>2083</v>
      </c>
      <c r="B323" s="6" t="s">
        <v>2093</v>
      </c>
      <c r="C323" s="6" t="s">
        <v>2094</v>
      </c>
      <c r="D323" s="6" t="s">
        <v>1303</v>
      </c>
      <c r="E323" s="6" t="s">
        <v>1304</v>
      </c>
      <c r="F323" s="6" t="s">
        <v>2095</v>
      </c>
      <c r="G323" s="6" t="s">
        <v>1306</v>
      </c>
    </row>
    <row r="324" spans="1:7" ht="69.95" customHeight="1">
      <c r="A324" s="6" t="s">
        <v>2083</v>
      </c>
      <c r="B324" s="6" t="s">
        <v>2096</v>
      </c>
      <c r="C324" s="6" t="s">
        <v>2097</v>
      </c>
      <c r="D324" s="6" t="s">
        <v>1303</v>
      </c>
      <c r="E324" s="6" t="s">
        <v>1304</v>
      </c>
      <c r="F324" s="6" t="s">
        <v>2098</v>
      </c>
      <c r="G324" s="6" t="s">
        <v>1306</v>
      </c>
    </row>
    <row r="325" spans="1:7" ht="69.95" customHeight="1">
      <c r="A325" s="6" t="s">
        <v>2083</v>
      </c>
      <c r="B325" s="6" t="s">
        <v>2099</v>
      </c>
      <c r="C325" s="6" t="s">
        <v>2100</v>
      </c>
      <c r="D325" s="6" t="s">
        <v>1303</v>
      </c>
      <c r="E325" s="6" t="s">
        <v>1304</v>
      </c>
      <c r="F325" s="6" t="s">
        <v>2101</v>
      </c>
      <c r="G325" s="6" t="s">
        <v>1306</v>
      </c>
    </row>
    <row r="326" spans="1:7" ht="69.95" customHeight="1">
      <c r="A326" s="6" t="s">
        <v>2102</v>
      </c>
      <c r="B326" s="6" t="s">
        <v>2103</v>
      </c>
      <c r="C326" s="6" t="s">
        <v>2104</v>
      </c>
      <c r="D326" s="6" t="s">
        <v>1303</v>
      </c>
      <c r="E326" s="6" t="s">
        <v>1304</v>
      </c>
      <c r="F326" s="6" t="s">
        <v>2105</v>
      </c>
      <c r="G326" s="6" t="s">
        <v>1306</v>
      </c>
    </row>
    <row r="327" spans="1:7" ht="69.95" customHeight="1">
      <c r="A327" s="6" t="s">
        <v>2102</v>
      </c>
      <c r="B327" s="6" t="s">
        <v>2106</v>
      </c>
      <c r="C327" s="6" t="s">
        <v>2107</v>
      </c>
      <c r="D327" s="6" t="s">
        <v>1303</v>
      </c>
      <c r="E327" s="6" t="s">
        <v>1304</v>
      </c>
      <c r="F327" s="6" t="s">
        <v>2108</v>
      </c>
      <c r="G327" s="6" t="s">
        <v>1306</v>
      </c>
    </row>
    <row r="328" spans="1:7" ht="69.95" customHeight="1">
      <c r="A328" s="6" t="s">
        <v>2102</v>
      </c>
      <c r="B328" s="6" t="s">
        <v>2109</v>
      </c>
      <c r="C328" s="6" t="s">
        <v>2110</v>
      </c>
      <c r="D328" s="6" t="s">
        <v>1303</v>
      </c>
      <c r="E328" s="6" t="s">
        <v>1304</v>
      </c>
      <c r="F328" s="6" t="s">
        <v>2111</v>
      </c>
      <c r="G328" s="6" t="s">
        <v>1306</v>
      </c>
    </row>
    <row r="329" spans="1:7" ht="69.95" customHeight="1">
      <c r="A329" s="6" t="s">
        <v>2102</v>
      </c>
      <c r="B329" s="6" t="s">
        <v>2112</v>
      </c>
      <c r="C329" s="6" t="s">
        <v>2113</v>
      </c>
      <c r="D329" s="6" t="s">
        <v>1303</v>
      </c>
      <c r="E329" s="6" t="s">
        <v>1304</v>
      </c>
      <c r="F329" s="6" t="s">
        <v>2114</v>
      </c>
      <c r="G329" s="6" t="s">
        <v>1306</v>
      </c>
    </row>
    <row r="330" spans="1:7" ht="69.95" customHeight="1">
      <c r="A330" s="6" t="s">
        <v>2115</v>
      </c>
      <c r="B330" s="6" t="s">
        <v>2116</v>
      </c>
      <c r="C330" s="6" t="s">
        <v>2117</v>
      </c>
      <c r="D330" s="6" t="s">
        <v>1466</v>
      </c>
      <c r="E330" s="6" t="s">
        <v>1304</v>
      </c>
      <c r="F330" s="6" t="s">
        <v>2118</v>
      </c>
      <c r="G330" s="6" t="s">
        <v>1306</v>
      </c>
    </row>
    <row r="331" spans="1:7" ht="69.95" customHeight="1">
      <c r="A331" s="6" t="s">
        <v>2115</v>
      </c>
      <c r="B331" s="6" t="s">
        <v>2119</v>
      </c>
      <c r="C331" s="6" t="s">
        <v>2120</v>
      </c>
      <c r="D331" s="6" t="s">
        <v>1466</v>
      </c>
      <c r="E331" s="6" t="s">
        <v>1304</v>
      </c>
      <c r="F331" s="6" t="s">
        <v>2121</v>
      </c>
      <c r="G331" s="6" t="s">
        <v>1306</v>
      </c>
    </row>
    <row r="332" spans="1:7" ht="69.95" customHeight="1">
      <c r="A332" s="6" t="s">
        <v>2115</v>
      </c>
      <c r="B332" s="6" t="s">
        <v>2122</v>
      </c>
      <c r="C332" s="6" t="s">
        <v>2123</v>
      </c>
      <c r="D332" s="6" t="s">
        <v>1466</v>
      </c>
      <c r="E332" s="6" t="s">
        <v>1304</v>
      </c>
      <c r="F332" s="6" t="s">
        <v>2124</v>
      </c>
      <c r="G332" s="6" t="s">
        <v>1306</v>
      </c>
    </row>
    <row r="333" spans="1:7" ht="69.95" customHeight="1">
      <c r="A333" s="6" t="s">
        <v>2115</v>
      </c>
      <c r="B333" s="6" t="s">
        <v>2125</v>
      </c>
      <c r="C333" s="6" t="s">
        <v>2126</v>
      </c>
      <c r="D333" s="6" t="s">
        <v>1466</v>
      </c>
      <c r="E333" s="6" t="s">
        <v>1304</v>
      </c>
      <c r="F333" s="6" t="s">
        <v>2127</v>
      </c>
      <c r="G333" s="6" t="s">
        <v>1306</v>
      </c>
    </row>
    <row r="334" spans="1:7" ht="69.95" customHeight="1">
      <c r="A334" s="6" t="s">
        <v>2115</v>
      </c>
      <c r="B334" s="6" t="s">
        <v>2128</v>
      </c>
      <c r="C334" s="6" t="s">
        <v>2129</v>
      </c>
      <c r="D334" s="6" t="s">
        <v>1466</v>
      </c>
      <c r="E334" s="6" t="s">
        <v>1304</v>
      </c>
      <c r="F334" s="6" t="s">
        <v>2130</v>
      </c>
      <c r="G334" s="6" t="s">
        <v>1306</v>
      </c>
    </row>
    <row r="335" spans="1:7" ht="69.95" customHeight="1">
      <c r="A335" s="6" t="s">
        <v>2115</v>
      </c>
      <c r="B335" s="6" t="s">
        <v>2131</v>
      </c>
      <c r="C335" s="6" t="s">
        <v>2132</v>
      </c>
      <c r="D335" s="6" t="s">
        <v>1466</v>
      </c>
      <c r="E335" s="6" t="s">
        <v>1304</v>
      </c>
      <c r="F335" s="6" t="s">
        <v>2133</v>
      </c>
      <c r="G335" s="6" t="s">
        <v>1306</v>
      </c>
    </row>
    <row r="336" spans="1:7" ht="69.95" customHeight="1">
      <c r="A336" s="6" t="s">
        <v>2115</v>
      </c>
      <c r="B336" s="6" t="s">
        <v>2134</v>
      </c>
      <c r="C336" s="6" t="s">
        <v>2135</v>
      </c>
      <c r="D336" s="6" t="s">
        <v>1466</v>
      </c>
      <c r="E336" s="6" t="s">
        <v>1304</v>
      </c>
      <c r="F336" s="6" t="s">
        <v>2136</v>
      </c>
      <c r="G336" s="6" t="s">
        <v>1306</v>
      </c>
    </row>
    <row r="337" spans="1:7" ht="69.95" customHeight="1">
      <c r="A337" s="6" t="s">
        <v>2115</v>
      </c>
      <c r="B337" s="6" t="s">
        <v>2137</v>
      </c>
      <c r="C337" s="6" t="s">
        <v>2138</v>
      </c>
      <c r="D337" s="6" t="s">
        <v>1466</v>
      </c>
      <c r="E337" s="6" t="s">
        <v>1304</v>
      </c>
      <c r="F337" s="6" t="s">
        <v>2139</v>
      </c>
      <c r="G337" s="6" t="s">
        <v>1306</v>
      </c>
    </row>
    <row r="338" spans="1:7" ht="69.95" customHeight="1">
      <c r="A338" s="6" t="s">
        <v>2115</v>
      </c>
      <c r="B338" s="6" t="s">
        <v>2140</v>
      </c>
      <c r="C338" s="6" t="s">
        <v>2141</v>
      </c>
      <c r="D338" s="6" t="s">
        <v>1466</v>
      </c>
      <c r="E338" s="6" t="s">
        <v>1304</v>
      </c>
      <c r="F338" s="6" t="s">
        <v>2142</v>
      </c>
      <c r="G338" s="6" t="s">
        <v>1306</v>
      </c>
    </row>
    <row r="339" spans="1:7" ht="69.95" customHeight="1">
      <c r="A339" s="6" t="s">
        <v>2115</v>
      </c>
      <c r="B339" s="6" t="s">
        <v>2143</v>
      </c>
      <c r="C339" s="6" t="s">
        <v>2144</v>
      </c>
      <c r="D339" s="6" t="s">
        <v>1466</v>
      </c>
      <c r="E339" s="6" t="s">
        <v>1304</v>
      </c>
      <c r="F339" s="6" t="s">
        <v>2145</v>
      </c>
      <c r="G339" s="6" t="s">
        <v>1306</v>
      </c>
    </row>
    <row r="340" spans="1:7" ht="69.95" customHeight="1">
      <c r="A340" s="6" t="s">
        <v>2115</v>
      </c>
      <c r="B340" s="6" t="s">
        <v>2146</v>
      </c>
      <c r="C340" s="6" t="s">
        <v>2147</v>
      </c>
      <c r="D340" s="6" t="s">
        <v>1466</v>
      </c>
      <c r="E340" s="6" t="s">
        <v>1304</v>
      </c>
      <c r="F340" s="6" t="s">
        <v>2148</v>
      </c>
      <c r="G340" s="6" t="s">
        <v>1306</v>
      </c>
    </row>
    <row r="341" spans="1:7" ht="69.95" customHeight="1">
      <c r="A341" s="6" t="s">
        <v>2115</v>
      </c>
      <c r="B341" s="6" t="s">
        <v>2149</v>
      </c>
      <c r="C341" s="6" t="s">
        <v>2150</v>
      </c>
      <c r="D341" s="6" t="s">
        <v>1466</v>
      </c>
      <c r="E341" s="6" t="s">
        <v>1304</v>
      </c>
      <c r="F341" s="6" t="s">
        <v>2151</v>
      </c>
      <c r="G341" s="6" t="s">
        <v>1306</v>
      </c>
    </row>
    <row r="342" spans="1:7" ht="69.95" customHeight="1">
      <c r="A342" s="6" t="s">
        <v>2152</v>
      </c>
      <c r="B342" s="6" t="s">
        <v>2153</v>
      </c>
      <c r="C342" s="6" t="s">
        <v>2154</v>
      </c>
      <c r="D342" s="6" t="s">
        <v>1466</v>
      </c>
      <c r="E342" s="6" t="s">
        <v>1304</v>
      </c>
      <c r="F342" s="6" t="s">
        <v>2155</v>
      </c>
      <c r="G342" s="6" t="s">
        <v>1306</v>
      </c>
    </row>
    <row r="343" spans="1:7" ht="69.95" customHeight="1">
      <c r="A343" s="6" t="s">
        <v>2152</v>
      </c>
      <c r="B343" s="6" t="s">
        <v>2156</v>
      </c>
      <c r="C343" s="6" t="s">
        <v>2157</v>
      </c>
      <c r="D343" s="6" t="s">
        <v>1466</v>
      </c>
      <c r="E343" s="6" t="s">
        <v>1304</v>
      </c>
      <c r="F343" s="6" t="s">
        <v>2158</v>
      </c>
      <c r="G343" s="6" t="s">
        <v>1306</v>
      </c>
    </row>
    <row r="344" spans="1:7" ht="69.95" customHeight="1">
      <c r="A344" s="6" t="s">
        <v>2152</v>
      </c>
      <c r="B344" s="6" t="s">
        <v>2159</v>
      </c>
      <c r="C344" s="6" t="s">
        <v>2160</v>
      </c>
      <c r="D344" s="6" t="s">
        <v>1466</v>
      </c>
      <c r="E344" s="6" t="s">
        <v>1304</v>
      </c>
      <c r="F344" s="6" t="s">
        <v>2161</v>
      </c>
      <c r="G344" s="6" t="s">
        <v>1306</v>
      </c>
    </row>
    <row r="345" spans="1:7" ht="69.95" customHeight="1">
      <c r="A345" s="6" t="s">
        <v>2152</v>
      </c>
      <c r="B345" s="6" t="s">
        <v>2162</v>
      </c>
      <c r="C345" s="6" t="s">
        <v>2163</v>
      </c>
      <c r="D345" s="6" t="s">
        <v>1466</v>
      </c>
      <c r="E345" s="6" t="s">
        <v>1304</v>
      </c>
      <c r="F345" s="6" t="s">
        <v>2164</v>
      </c>
      <c r="G345" s="6" t="s">
        <v>1306</v>
      </c>
    </row>
    <row r="346" spans="1:7" ht="69.95" customHeight="1">
      <c r="A346" s="6" t="s">
        <v>2152</v>
      </c>
      <c r="B346" s="6" t="s">
        <v>2165</v>
      </c>
      <c r="C346" s="6" t="s">
        <v>2166</v>
      </c>
      <c r="D346" s="6" t="s">
        <v>1466</v>
      </c>
      <c r="E346" s="6" t="s">
        <v>1304</v>
      </c>
      <c r="F346" s="6" t="s">
        <v>2167</v>
      </c>
      <c r="G346" s="6" t="s">
        <v>1306</v>
      </c>
    </row>
    <row r="347" spans="1:7" ht="69.95" customHeight="1">
      <c r="A347" s="6" t="s">
        <v>2152</v>
      </c>
      <c r="B347" s="6" t="s">
        <v>2168</v>
      </c>
      <c r="C347" s="6" t="s">
        <v>2169</v>
      </c>
      <c r="D347" s="6" t="s">
        <v>1466</v>
      </c>
      <c r="E347" s="6" t="s">
        <v>1304</v>
      </c>
      <c r="F347" s="6" t="s">
        <v>2170</v>
      </c>
      <c r="G347" s="6" t="s">
        <v>1306</v>
      </c>
    </row>
    <row r="348" spans="1:7" ht="69.95" customHeight="1">
      <c r="A348" s="6" t="s">
        <v>2152</v>
      </c>
      <c r="B348" s="6" t="s">
        <v>2171</v>
      </c>
      <c r="C348" s="6" t="s">
        <v>2172</v>
      </c>
      <c r="D348" s="6" t="s">
        <v>1466</v>
      </c>
      <c r="E348" s="6" t="s">
        <v>1304</v>
      </c>
      <c r="F348" s="6" t="s">
        <v>2173</v>
      </c>
      <c r="G348" s="6" t="s">
        <v>1306</v>
      </c>
    </row>
    <row r="349" spans="1:7" ht="69.95" customHeight="1">
      <c r="A349" s="6" t="s">
        <v>2152</v>
      </c>
      <c r="B349" s="6" t="s">
        <v>2174</v>
      </c>
      <c r="C349" s="6" t="s">
        <v>2175</v>
      </c>
      <c r="D349" s="6" t="s">
        <v>1466</v>
      </c>
      <c r="E349" s="6" t="s">
        <v>1304</v>
      </c>
      <c r="F349" s="6" t="s">
        <v>2176</v>
      </c>
      <c r="G349" s="6" t="s">
        <v>1306</v>
      </c>
    </row>
    <row r="350" spans="1:7" ht="69.95" customHeight="1">
      <c r="A350" s="6" t="s">
        <v>2152</v>
      </c>
      <c r="B350" s="6" t="s">
        <v>2177</v>
      </c>
      <c r="C350" s="6" t="s">
        <v>2178</v>
      </c>
      <c r="D350" s="6" t="s">
        <v>1466</v>
      </c>
      <c r="E350" s="6" t="s">
        <v>1304</v>
      </c>
      <c r="F350" s="6" t="s">
        <v>2179</v>
      </c>
      <c r="G350" s="6" t="s">
        <v>1306</v>
      </c>
    </row>
    <row r="351" spans="1:7" ht="69.95" customHeight="1">
      <c r="A351" s="6" t="s">
        <v>2152</v>
      </c>
      <c r="B351" s="6" t="s">
        <v>2180</v>
      </c>
      <c r="C351" s="6" t="s">
        <v>2181</v>
      </c>
      <c r="D351" s="6" t="s">
        <v>1466</v>
      </c>
      <c r="E351" s="6" t="s">
        <v>1304</v>
      </c>
      <c r="F351" s="6" t="s">
        <v>2182</v>
      </c>
      <c r="G351" s="6" t="s">
        <v>1306</v>
      </c>
    </row>
    <row r="352" spans="1:7" ht="69.95" customHeight="1">
      <c r="A352" s="6" t="s">
        <v>2152</v>
      </c>
      <c r="B352" s="6" t="s">
        <v>2183</v>
      </c>
      <c r="C352" s="6" t="s">
        <v>2184</v>
      </c>
      <c r="D352" s="6" t="s">
        <v>1466</v>
      </c>
      <c r="E352" s="6" t="s">
        <v>1304</v>
      </c>
      <c r="F352" s="6" t="s">
        <v>2185</v>
      </c>
      <c r="G352" s="6" t="s">
        <v>1306</v>
      </c>
    </row>
    <row r="353" spans="1:7" ht="69.95" customHeight="1">
      <c r="A353" s="6" t="s">
        <v>2152</v>
      </c>
      <c r="B353" s="6" t="s">
        <v>2186</v>
      </c>
      <c r="C353" s="6" t="s">
        <v>2187</v>
      </c>
      <c r="D353" s="6" t="s">
        <v>1466</v>
      </c>
      <c r="E353" s="6" t="s">
        <v>1304</v>
      </c>
      <c r="F353" s="6" t="s">
        <v>2188</v>
      </c>
      <c r="G353" s="6" t="s">
        <v>1306</v>
      </c>
    </row>
    <row r="354" spans="1:7" ht="69.95" customHeight="1">
      <c r="A354" s="6" t="s">
        <v>2152</v>
      </c>
      <c r="B354" s="6" t="s">
        <v>2189</v>
      </c>
      <c r="C354" s="6" t="s">
        <v>2190</v>
      </c>
      <c r="D354" s="6" t="s">
        <v>1466</v>
      </c>
      <c r="E354" s="6" t="s">
        <v>1304</v>
      </c>
      <c r="F354" s="6" t="s">
        <v>2191</v>
      </c>
      <c r="G354" s="6" t="s">
        <v>1306</v>
      </c>
    </row>
    <row r="355" spans="1:7" ht="69.95" customHeight="1">
      <c r="A355" s="6" t="s">
        <v>2152</v>
      </c>
      <c r="B355" s="6" t="s">
        <v>2192</v>
      </c>
      <c r="C355" s="6" t="s">
        <v>2193</v>
      </c>
      <c r="D355" s="6" t="s">
        <v>1466</v>
      </c>
      <c r="E355" s="6" t="s">
        <v>1304</v>
      </c>
      <c r="F355" s="6" t="s">
        <v>2194</v>
      </c>
      <c r="G355" s="6" t="s">
        <v>1306</v>
      </c>
    </row>
    <row r="356" spans="1:7" ht="69.95" customHeight="1">
      <c r="A356" s="6" t="s">
        <v>2152</v>
      </c>
      <c r="B356" s="6" t="s">
        <v>2195</v>
      </c>
      <c r="C356" s="6" t="s">
        <v>2196</v>
      </c>
      <c r="D356" s="6" t="s">
        <v>1466</v>
      </c>
      <c r="E356" s="6" t="s">
        <v>1304</v>
      </c>
      <c r="F356" s="6" t="s">
        <v>2197</v>
      </c>
      <c r="G356" s="6" t="s">
        <v>1306</v>
      </c>
    </row>
    <row r="357" spans="1:7" ht="69.95" customHeight="1">
      <c r="A357" s="6" t="s">
        <v>2152</v>
      </c>
      <c r="B357" s="6" t="s">
        <v>2198</v>
      </c>
      <c r="C357" s="6" t="s">
        <v>2199</v>
      </c>
      <c r="D357" s="6" t="s">
        <v>1466</v>
      </c>
      <c r="E357" s="6" t="s">
        <v>1304</v>
      </c>
      <c r="F357" s="6" t="s">
        <v>2200</v>
      </c>
      <c r="G357" s="6" t="s">
        <v>1306</v>
      </c>
    </row>
    <row r="358" spans="1:7" ht="69.95" customHeight="1">
      <c r="A358" s="6" t="s">
        <v>2152</v>
      </c>
      <c r="B358" s="6" t="s">
        <v>2201</v>
      </c>
      <c r="C358" s="6" t="s">
        <v>2202</v>
      </c>
      <c r="D358" s="6" t="s">
        <v>1466</v>
      </c>
      <c r="E358" s="6" t="s">
        <v>1304</v>
      </c>
      <c r="F358" s="6" t="s">
        <v>2203</v>
      </c>
      <c r="G358" s="6" t="s">
        <v>1306</v>
      </c>
    </row>
    <row r="359" spans="1:7" ht="69.95" customHeight="1">
      <c r="A359" s="6" t="s">
        <v>2152</v>
      </c>
      <c r="B359" s="6" t="s">
        <v>2204</v>
      </c>
      <c r="C359" s="6" t="s">
        <v>2205</v>
      </c>
      <c r="D359" s="6" t="s">
        <v>1466</v>
      </c>
      <c r="E359" s="6" t="s">
        <v>1304</v>
      </c>
      <c r="F359" s="6" t="s">
        <v>2206</v>
      </c>
      <c r="G359" s="6" t="s">
        <v>1306</v>
      </c>
    </row>
    <row r="360" spans="1:7" ht="69.95" customHeight="1">
      <c r="A360" s="6" t="s">
        <v>2152</v>
      </c>
      <c r="B360" s="6" t="s">
        <v>2207</v>
      </c>
      <c r="C360" s="6" t="s">
        <v>2208</v>
      </c>
      <c r="D360" s="6" t="s">
        <v>1466</v>
      </c>
      <c r="E360" s="6" t="s">
        <v>1304</v>
      </c>
      <c r="F360" s="6" t="s">
        <v>2209</v>
      </c>
      <c r="G360" s="6" t="s">
        <v>1306</v>
      </c>
    </row>
    <row r="361" spans="1:7" ht="69.95" customHeight="1">
      <c r="A361" s="6" t="s">
        <v>2152</v>
      </c>
      <c r="B361" s="6" t="s">
        <v>2210</v>
      </c>
      <c r="C361" s="6" t="s">
        <v>2211</v>
      </c>
      <c r="D361" s="6" t="s">
        <v>1466</v>
      </c>
      <c r="E361" s="6" t="s">
        <v>1304</v>
      </c>
      <c r="F361" s="6" t="s">
        <v>2212</v>
      </c>
      <c r="G361" s="6" t="s">
        <v>1306</v>
      </c>
    </row>
    <row r="362" spans="1:7" ht="69.95" customHeight="1">
      <c r="A362" s="6" t="s">
        <v>2152</v>
      </c>
      <c r="B362" s="6" t="s">
        <v>2213</v>
      </c>
      <c r="C362" s="6" t="s">
        <v>2214</v>
      </c>
      <c r="D362" s="6" t="s">
        <v>1466</v>
      </c>
      <c r="E362" s="6" t="s">
        <v>1304</v>
      </c>
      <c r="F362" s="6" t="s">
        <v>2215</v>
      </c>
      <c r="G362" s="6" t="s">
        <v>1306</v>
      </c>
    </row>
    <row r="363" spans="1:7" ht="69.95" customHeight="1">
      <c r="A363" s="6" t="s">
        <v>2152</v>
      </c>
      <c r="B363" s="6" t="s">
        <v>2216</v>
      </c>
      <c r="C363" s="6" t="s">
        <v>2217</v>
      </c>
      <c r="D363" s="6" t="s">
        <v>1466</v>
      </c>
      <c r="E363" s="6" t="s">
        <v>1304</v>
      </c>
      <c r="F363" s="6" t="s">
        <v>2218</v>
      </c>
      <c r="G363" s="6" t="s">
        <v>1306</v>
      </c>
    </row>
    <row r="364" spans="1:7" ht="69.95" customHeight="1">
      <c r="A364" s="6" t="s">
        <v>2152</v>
      </c>
      <c r="B364" s="6" t="s">
        <v>2219</v>
      </c>
      <c r="C364" s="6" t="s">
        <v>2220</v>
      </c>
      <c r="D364" s="6" t="s">
        <v>1466</v>
      </c>
      <c r="E364" s="6" t="s">
        <v>1304</v>
      </c>
      <c r="F364" s="6" t="s">
        <v>2221</v>
      </c>
      <c r="G364" s="6" t="s">
        <v>1306</v>
      </c>
    </row>
    <row r="365" spans="1:7" ht="69.95" customHeight="1">
      <c r="A365" s="6" t="s">
        <v>2152</v>
      </c>
      <c r="B365" s="6" t="s">
        <v>2222</v>
      </c>
      <c r="C365" s="6" t="s">
        <v>2223</v>
      </c>
      <c r="D365" s="6" t="s">
        <v>1466</v>
      </c>
      <c r="E365" s="6" t="s">
        <v>1304</v>
      </c>
      <c r="F365" s="6" t="s">
        <v>2224</v>
      </c>
      <c r="G365" s="6" t="s">
        <v>1306</v>
      </c>
    </row>
    <row r="366" spans="1:7" ht="69.95" customHeight="1">
      <c r="A366" s="6" t="s">
        <v>2152</v>
      </c>
      <c r="B366" s="6" t="s">
        <v>2225</v>
      </c>
      <c r="C366" s="6" t="s">
        <v>2226</v>
      </c>
      <c r="D366" s="6" t="s">
        <v>1466</v>
      </c>
      <c r="E366" s="6" t="s">
        <v>1304</v>
      </c>
      <c r="F366" s="6" t="s">
        <v>2227</v>
      </c>
      <c r="G366" s="6" t="s">
        <v>1306</v>
      </c>
    </row>
    <row r="367" spans="1:7" ht="69.95" customHeight="1">
      <c r="A367" s="6" t="s">
        <v>2152</v>
      </c>
      <c r="B367" s="6" t="s">
        <v>2228</v>
      </c>
      <c r="C367" s="6" t="s">
        <v>2229</v>
      </c>
      <c r="D367" s="6" t="s">
        <v>1466</v>
      </c>
      <c r="E367" s="6" t="s">
        <v>1304</v>
      </c>
      <c r="F367" s="6" t="s">
        <v>2230</v>
      </c>
      <c r="G367" s="6" t="s">
        <v>1306</v>
      </c>
    </row>
    <row r="368" spans="1:7" ht="69.95" customHeight="1">
      <c r="A368" s="6" t="s">
        <v>2152</v>
      </c>
      <c r="B368" s="6" t="s">
        <v>1687</v>
      </c>
      <c r="C368" s="6" t="s">
        <v>2231</v>
      </c>
      <c r="D368" s="6" t="s">
        <v>1466</v>
      </c>
      <c r="E368" s="6" t="s">
        <v>1304</v>
      </c>
      <c r="F368" s="6" t="s">
        <v>2232</v>
      </c>
      <c r="G368" s="6" t="s">
        <v>1306</v>
      </c>
    </row>
    <row r="369" spans="1:7" ht="69.95" customHeight="1">
      <c r="A369" s="6" t="s">
        <v>2152</v>
      </c>
      <c r="B369" s="6" t="s">
        <v>2233</v>
      </c>
      <c r="C369" s="6" t="s">
        <v>2234</v>
      </c>
      <c r="D369" s="6" t="s">
        <v>1466</v>
      </c>
      <c r="E369" s="6" t="s">
        <v>1304</v>
      </c>
      <c r="F369" s="6" t="s">
        <v>2235</v>
      </c>
      <c r="G369" s="6" t="s">
        <v>1306</v>
      </c>
    </row>
    <row r="370" spans="1:7" ht="69.95" customHeight="1">
      <c r="A370" s="6" t="s">
        <v>2152</v>
      </c>
      <c r="B370" s="6" t="s">
        <v>2236</v>
      </c>
      <c r="C370" s="6" t="s">
        <v>2237</v>
      </c>
      <c r="D370" s="6" t="s">
        <v>1466</v>
      </c>
      <c r="E370" s="6" t="s">
        <v>1304</v>
      </c>
      <c r="F370" s="6" t="s">
        <v>2238</v>
      </c>
      <c r="G370" s="6" t="s">
        <v>1306</v>
      </c>
    </row>
    <row r="371" spans="1:7" ht="69.95" customHeight="1">
      <c r="A371" s="6" t="s">
        <v>2152</v>
      </c>
      <c r="B371" s="6" t="s">
        <v>2239</v>
      </c>
      <c r="C371" s="6" t="s">
        <v>2240</v>
      </c>
      <c r="D371" s="6" t="s">
        <v>1466</v>
      </c>
      <c r="E371" s="6" t="s">
        <v>1304</v>
      </c>
      <c r="F371" s="6" t="s">
        <v>2241</v>
      </c>
      <c r="G371" s="6" t="s">
        <v>1306</v>
      </c>
    </row>
    <row r="372" spans="1:7" ht="69.95" customHeight="1">
      <c r="A372" s="6" t="s">
        <v>2152</v>
      </c>
      <c r="B372" s="6" t="s">
        <v>2242</v>
      </c>
      <c r="C372" s="6" t="s">
        <v>2243</v>
      </c>
      <c r="D372" s="6" t="s">
        <v>1466</v>
      </c>
      <c r="E372" s="6" t="s">
        <v>1304</v>
      </c>
      <c r="F372" s="6" t="s">
        <v>2244</v>
      </c>
      <c r="G372" s="6" t="s">
        <v>1306</v>
      </c>
    </row>
    <row r="373" spans="1:7" ht="69.95" customHeight="1">
      <c r="A373" s="6" t="s">
        <v>2152</v>
      </c>
      <c r="B373" s="6" t="s">
        <v>2245</v>
      </c>
      <c r="C373" s="6" t="s">
        <v>2246</v>
      </c>
      <c r="D373" s="6" t="s">
        <v>1466</v>
      </c>
      <c r="E373" s="6" t="s">
        <v>1304</v>
      </c>
      <c r="F373" s="6" t="s">
        <v>2247</v>
      </c>
      <c r="G373" s="6" t="s">
        <v>1306</v>
      </c>
    </row>
    <row r="374" spans="1:7" ht="69.95" customHeight="1">
      <c r="A374" s="6" t="s">
        <v>2152</v>
      </c>
      <c r="B374" s="6" t="s">
        <v>2248</v>
      </c>
      <c r="C374" s="6" t="s">
        <v>2249</v>
      </c>
      <c r="D374" s="6" t="s">
        <v>1466</v>
      </c>
      <c r="E374" s="6" t="s">
        <v>1304</v>
      </c>
      <c r="F374" s="6" t="s">
        <v>2250</v>
      </c>
      <c r="G374" s="6" t="s">
        <v>1306</v>
      </c>
    </row>
    <row r="375" spans="1:7" ht="69.95" customHeight="1">
      <c r="A375" s="6" t="s">
        <v>2152</v>
      </c>
      <c r="B375" s="6" t="s">
        <v>1464</v>
      </c>
      <c r="C375" s="6" t="s">
        <v>2251</v>
      </c>
      <c r="D375" s="6" t="s">
        <v>1466</v>
      </c>
      <c r="E375" s="6" t="s">
        <v>1304</v>
      </c>
      <c r="F375" s="6" t="s">
        <v>2252</v>
      </c>
      <c r="G375" s="6" t="s">
        <v>1306</v>
      </c>
    </row>
    <row r="376" spans="1:7" ht="69.95" customHeight="1">
      <c r="A376" s="6" t="s">
        <v>2152</v>
      </c>
      <c r="B376" s="6" t="s">
        <v>1468</v>
      </c>
      <c r="C376" s="6" t="s">
        <v>2253</v>
      </c>
      <c r="D376" s="6" t="s">
        <v>1466</v>
      </c>
      <c r="E376" s="6" t="s">
        <v>1304</v>
      </c>
      <c r="F376" s="6" t="s">
        <v>2254</v>
      </c>
      <c r="G376" s="6" t="s">
        <v>1306</v>
      </c>
    </row>
    <row r="377" spans="1:7" ht="69.95" customHeight="1">
      <c r="A377" s="6" t="s">
        <v>2152</v>
      </c>
      <c r="B377" s="6" t="s">
        <v>1470</v>
      </c>
      <c r="C377" s="6" t="s">
        <v>2255</v>
      </c>
      <c r="D377" s="6" t="s">
        <v>1466</v>
      </c>
      <c r="E377" s="6" t="s">
        <v>1304</v>
      </c>
      <c r="F377" s="6" t="s">
        <v>2256</v>
      </c>
      <c r="G377" s="6" t="s">
        <v>1306</v>
      </c>
    </row>
    <row r="378" spans="1:7" ht="69.95" customHeight="1">
      <c r="A378" s="6" t="s">
        <v>2152</v>
      </c>
      <c r="B378" s="6" t="s">
        <v>1472</v>
      </c>
      <c r="C378" s="6" t="s">
        <v>2257</v>
      </c>
      <c r="D378" s="6" t="s">
        <v>1466</v>
      </c>
      <c r="E378" s="6" t="s">
        <v>1304</v>
      </c>
      <c r="F378" s="6" t="s">
        <v>2258</v>
      </c>
      <c r="G378" s="6" t="s">
        <v>1306</v>
      </c>
    </row>
    <row r="379" spans="1:7" ht="69.95" customHeight="1">
      <c r="A379" s="6" t="s">
        <v>2152</v>
      </c>
      <c r="B379" s="6" t="s">
        <v>1693</v>
      </c>
      <c r="C379" s="6" t="s">
        <v>2259</v>
      </c>
      <c r="D379" s="6" t="s">
        <v>1466</v>
      </c>
      <c r="E379" s="6" t="s">
        <v>1304</v>
      </c>
      <c r="F379" s="6" t="s">
        <v>2260</v>
      </c>
      <c r="G379" s="6" t="s">
        <v>1306</v>
      </c>
    </row>
    <row r="380" spans="1:7" ht="69.95" customHeight="1">
      <c r="A380" s="6" t="s">
        <v>2152</v>
      </c>
      <c r="B380" s="6" t="s">
        <v>2261</v>
      </c>
      <c r="C380" s="6" t="s">
        <v>2262</v>
      </c>
      <c r="D380" s="6" t="s">
        <v>1466</v>
      </c>
      <c r="E380" s="6" t="s">
        <v>1304</v>
      </c>
      <c r="F380" s="6" t="s">
        <v>2263</v>
      </c>
      <c r="G380" s="6" t="s">
        <v>1306</v>
      </c>
    </row>
    <row r="381" spans="1:7" ht="69.95" customHeight="1">
      <c r="A381" s="6" t="s">
        <v>2152</v>
      </c>
      <c r="B381" s="6" t="s">
        <v>1697</v>
      </c>
      <c r="C381" s="6" t="s">
        <v>2264</v>
      </c>
      <c r="D381" s="6" t="s">
        <v>1466</v>
      </c>
      <c r="E381" s="6" t="s">
        <v>1304</v>
      </c>
      <c r="F381" s="6" t="s">
        <v>2265</v>
      </c>
      <c r="G381" s="6" t="s">
        <v>1306</v>
      </c>
    </row>
    <row r="382" spans="1:7" ht="69.95" customHeight="1">
      <c r="A382" s="6" t="s">
        <v>2152</v>
      </c>
      <c r="B382" s="6" t="s">
        <v>2266</v>
      </c>
      <c r="C382" s="6" t="s">
        <v>2267</v>
      </c>
      <c r="D382" s="6" t="s">
        <v>1466</v>
      </c>
      <c r="E382" s="6" t="s">
        <v>1304</v>
      </c>
      <c r="F382" s="6" t="s">
        <v>2268</v>
      </c>
      <c r="G382" s="6" t="s">
        <v>1306</v>
      </c>
    </row>
    <row r="383" spans="1:7" ht="69.95" customHeight="1">
      <c r="A383" s="6" t="s">
        <v>2152</v>
      </c>
      <c r="B383" s="6" t="s">
        <v>1474</v>
      </c>
      <c r="C383" s="6" t="s">
        <v>1465</v>
      </c>
      <c r="D383" s="6" t="s">
        <v>1466</v>
      </c>
      <c r="E383" s="6" t="s">
        <v>1304</v>
      </c>
      <c r="F383" s="6" t="s">
        <v>2269</v>
      </c>
      <c r="G383" s="6" t="s">
        <v>1306</v>
      </c>
    </row>
    <row r="384" spans="1:7" ht="69.95" customHeight="1">
      <c r="A384" s="6" t="s">
        <v>2152</v>
      </c>
      <c r="B384" s="6" t="s">
        <v>1476</v>
      </c>
      <c r="C384" s="6" t="s">
        <v>1465</v>
      </c>
      <c r="D384" s="6" t="s">
        <v>1466</v>
      </c>
      <c r="E384" s="6" t="s">
        <v>1304</v>
      </c>
      <c r="F384" s="6" t="s">
        <v>2270</v>
      </c>
      <c r="G384" s="6" t="s">
        <v>1306</v>
      </c>
    </row>
    <row r="385" spans="1:7" ht="69.95" customHeight="1">
      <c r="A385" s="6" t="s">
        <v>2152</v>
      </c>
      <c r="B385" s="6" t="s">
        <v>1482</v>
      </c>
      <c r="C385" s="6" t="s">
        <v>1465</v>
      </c>
      <c r="D385" s="6" t="s">
        <v>1466</v>
      </c>
      <c r="E385" s="6" t="s">
        <v>1304</v>
      </c>
      <c r="F385" s="6" t="s">
        <v>2271</v>
      </c>
      <c r="G385" s="6" t="s">
        <v>1306</v>
      </c>
    </row>
    <row r="386" spans="1:7" ht="69.95" customHeight="1">
      <c r="A386" s="6" t="s">
        <v>2272</v>
      </c>
      <c r="B386" s="6" t="s">
        <v>2273</v>
      </c>
      <c r="C386" s="6" t="s">
        <v>2274</v>
      </c>
      <c r="D386" s="6" t="s">
        <v>1303</v>
      </c>
      <c r="E386" s="6" t="s">
        <v>1304</v>
      </c>
      <c r="F386" s="6" t="s">
        <v>2275</v>
      </c>
      <c r="G386" s="6" t="s">
        <v>1306</v>
      </c>
    </row>
    <row r="387" spans="1:7" ht="69.95" customHeight="1">
      <c r="A387" s="6" t="s">
        <v>2272</v>
      </c>
      <c r="B387" s="6" t="s">
        <v>2276</v>
      </c>
      <c r="C387" s="6" t="s">
        <v>2277</v>
      </c>
      <c r="D387" s="6" t="s">
        <v>1303</v>
      </c>
      <c r="E387" s="6" t="s">
        <v>1304</v>
      </c>
      <c r="F387" s="6" t="s">
        <v>2278</v>
      </c>
      <c r="G387" s="6" t="s">
        <v>1306</v>
      </c>
    </row>
    <row r="388" spans="1:7" ht="69.95" customHeight="1">
      <c r="A388" s="6" t="s">
        <v>2272</v>
      </c>
      <c r="B388" s="6" t="s">
        <v>2279</v>
      </c>
      <c r="C388" s="6" t="s">
        <v>2280</v>
      </c>
      <c r="D388" s="6" t="s">
        <v>1303</v>
      </c>
      <c r="E388" s="6" t="s">
        <v>1304</v>
      </c>
      <c r="F388" s="6" t="s">
        <v>2281</v>
      </c>
      <c r="G388" s="6" t="s">
        <v>1306</v>
      </c>
    </row>
    <row r="389" spans="1:7" ht="69.95" customHeight="1">
      <c r="A389" s="6" t="s">
        <v>2272</v>
      </c>
      <c r="B389" s="6" t="s">
        <v>2282</v>
      </c>
      <c r="C389" s="6" t="s">
        <v>2283</v>
      </c>
      <c r="D389" s="6" t="s">
        <v>1303</v>
      </c>
      <c r="E389" s="6" t="s">
        <v>1304</v>
      </c>
      <c r="F389" s="6" t="s">
        <v>2284</v>
      </c>
      <c r="G389" s="6" t="s">
        <v>1306</v>
      </c>
    </row>
    <row r="390" spans="1:7" ht="69.95" customHeight="1">
      <c r="A390" s="6" t="s">
        <v>2272</v>
      </c>
      <c r="B390" s="6" t="s">
        <v>2285</v>
      </c>
      <c r="C390" s="6" t="s">
        <v>2286</v>
      </c>
      <c r="D390" s="6" t="s">
        <v>1303</v>
      </c>
      <c r="E390" s="6" t="s">
        <v>1304</v>
      </c>
      <c r="F390" s="6" t="s">
        <v>2287</v>
      </c>
      <c r="G390" s="6" t="s">
        <v>1306</v>
      </c>
    </row>
    <row r="391" spans="1:7" ht="69.95" customHeight="1">
      <c r="A391" s="6" t="s">
        <v>2272</v>
      </c>
      <c r="B391" s="6" t="s">
        <v>2288</v>
      </c>
      <c r="C391" s="6" t="s">
        <v>2289</v>
      </c>
      <c r="D391" s="6" t="s">
        <v>1303</v>
      </c>
      <c r="E391" s="6" t="s">
        <v>1304</v>
      </c>
      <c r="F391" s="6" t="s">
        <v>2290</v>
      </c>
      <c r="G391" s="6" t="s">
        <v>1306</v>
      </c>
    </row>
    <row r="392" spans="1:7" ht="69.95" customHeight="1">
      <c r="A392" s="6" t="s">
        <v>2272</v>
      </c>
      <c r="B392" s="6" t="s">
        <v>2291</v>
      </c>
      <c r="C392" s="6" t="s">
        <v>2292</v>
      </c>
      <c r="D392" s="6" t="s">
        <v>1303</v>
      </c>
      <c r="E392" s="6" t="s">
        <v>1304</v>
      </c>
      <c r="F392" s="6" t="s">
        <v>2293</v>
      </c>
      <c r="G392" s="6" t="s">
        <v>1306</v>
      </c>
    </row>
    <row r="393" spans="1:7" ht="69.95" customHeight="1">
      <c r="A393" s="6" t="s">
        <v>2272</v>
      </c>
      <c r="B393" s="6" t="s">
        <v>2294</v>
      </c>
      <c r="C393" s="6" t="s">
        <v>2295</v>
      </c>
      <c r="D393" s="6" t="s">
        <v>1303</v>
      </c>
      <c r="E393" s="6" t="s">
        <v>1304</v>
      </c>
      <c r="F393" s="6" t="s">
        <v>2296</v>
      </c>
      <c r="G393" s="6" t="s">
        <v>1306</v>
      </c>
    </row>
    <row r="394" spans="1:7" ht="69.95" customHeight="1">
      <c r="A394" s="6" t="s">
        <v>2272</v>
      </c>
      <c r="B394" s="6" t="s">
        <v>2297</v>
      </c>
      <c r="C394" s="6" t="s">
        <v>2298</v>
      </c>
      <c r="D394" s="6" t="s">
        <v>1303</v>
      </c>
      <c r="E394" s="6" t="s">
        <v>1304</v>
      </c>
      <c r="F394" s="6" t="s">
        <v>2299</v>
      </c>
      <c r="G394" s="6" t="s">
        <v>1306</v>
      </c>
    </row>
    <row r="395" spans="1:7" ht="69.95" customHeight="1">
      <c r="A395" s="6" t="s">
        <v>2272</v>
      </c>
      <c r="B395" s="6" t="s">
        <v>2300</v>
      </c>
      <c r="C395" s="6" t="s">
        <v>2301</v>
      </c>
      <c r="D395" s="6" t="s">
        <v>1303</v>
      </c>
      <c r="E395" s="6" t="s">
        <v>1304</v>
      </c>
      <c r="F395" s="6" t="s">
        <v>2302</v>
      </c>
      <c r="G395" s="6" t="s">
        <v>1306</v>
      </c>
    </row>
    <row r="396" spans="1:7" ht="69.95" customHeight="1">
      <c r="A396" s="6" t="s">
        <v>2272</v>
      </c>
      <c r="B396" s="6" t="s">
        <v>2303</v>
      </c>
      <c r="C396" s="6" t="s">
        <v>2304</v>
      </c>
      <c r="D396" s="6" t="s">
        <v>1303</v>
      </c>
      <c r="E396" s="6" t="s">
        <v>1304</v>
      </c>
      <c r="F396" s="6" t="s">
        <v>2305</v>
      </c>
      <c r="G396" s="6" t="s">
        <v>1306</v>
      </c>
    </row>
    <row r="397" spans="1:7" ht="69.95" customHeight="1">
      <c r="A397" s="6" t="s">
        <v>2272</v>
      </c>
      <c r="B397" s="6" t="s">
        <v>2306</v>
      </c>
      <c r="C397" s="6" t="s">
        <v>2307</v>
      </c>
      <c r="D397" s="6" t="s">
        <v>1303</v>
      </c>
      <c r="E397" s="6" t="s">
        <v>1304</v>
      </c>
      <c r="F397" s="6" t="s">
        <v>2308</v>
      </c>
      <c r="G397" s="6" t="s">
        <v>1306</v>
      </c>
    </row>
    <row r="398" spans="1:7" ht="69.95" customHeight="1">
      <c r="A398" s="6" t="s">
        <v>2272</v>
      </c>
      <c r="B398" s="6" t="s">
        <v>2309</v>
      </c>
      <c r="C398" s="6" t="s">
        <v>2310</v>
      </c>
      <c r="D398" s="6" t="s">
        <v>1303</v>
      </c>
      <c r="E398" s="6" t="s">
        <v>1304</v>
      </c>
      <c r="F398" s="6" t="s">
        <v>2311</v>
      </c>
      <c r="G398" s="6" t="s">
        <v>1306</v>
      </c>
    </row>
    <row r="399" spans="1:7" ht="69.95" customHeight="1">
      <c r="A399" s="6" t="s">
        <v>2272</v>
      </c>
      <c r="B399" s="6" t="s">
        <v>2312</v>
      </c>
      <c r="C399" s="6" t="s">
        <v>2313</v>
      </c>
      <c r="D399" s="6" t="s">
        <v>1303</v>
      </c>
      <c r="E399" s="6" t="s">
        <v>1304</v>
      </c>
      <c r="F399" s="6" t="s">
        <v>2314</v>
      </c>
      <c r="G399" s="6" t="s">
        <v>1306</v>
      </c>
    </row>
    <row r="400" spans="1:7" ht="69.95" customHeight="1">
      <c r="A400" s="6" t="s">
        <v>2272</v>
      </c>
      <c r="B400" s="6" t="s">
        <v>2315</v>
      </c>
      <c r="C400" s="6" t="s">
        <v>2316</v>
      </c>
      <c r="D400" s="6" t="s">
        <v>1303</v>
      </c>
      <c r="E400" s="6" t="s">
        <v>1304</v>
      </c>
      <c r="F400" s="6" t="s">
        <v>2317</v>
      </c>
      <c r="G400" s="6" t="s">
        <v>1306</v>
      </c>
    </row>
    <row r="401" spans="1:7" ht="69.95" customHeight="1">
      <c r="A401" s="6" t="s">
        <v>2272</v>
      </c>
      <c r="B401" s="6" t="s">
        <v>2318</v>
      </c>
      <c r="C401" s="6" t="s">
        <v>2319</v>
      </c>
      <c r="D401" s="6" t="s">
        <v>1303</v>
      </c>
      <c r="E401" s="6" t="s">
        <v>1304</v>
      </c>
      <c r="F401" s="6" t="s">
        <v>2320</v>
      </c>
      <c r="G401" s="6" t="s">
        <v>1306</v>
      </c>
    </row>
    <row r="402" spans="1:7" ht="69.95" customHeight="1">
      <c r="A402" s="6" t="s">
        <v>2272</v>
      </c>
      <c r="B402" s="6" t="s">
        <v>2321</v>
      </c>
      <c r="C402" s="6" t="s">
        <v>2322</v>
      </c>
      <c r="D402" s="6" t="s">
        <v>1303</v>
      </c>
      <c r="E402" s="6" t="s">
        <v>1304</v>
      </c>
      <c r="F402" s="6" t="s">
        <v>2323</v>
      </c>
      <c r="G402" s="6" t="s">
        <v>1306</v>
      </c>
    </row>
    <row r="403" spans="1:7" ht="69.95" customHeight="1">
      <c r="A403" s="6" t="s">
        <v>2272</v>
      </c>
      <c r="B403" s="6" t="s">
        <v>2324</v>
      </c>
      <c r="C403" s="6" t="s">
        <v>2325</v>
      </c>
      <c r="D403" s="6" t="s">
        <v>1303</v>
      </c>
      <c r="E403" s="6" t="s">
        <v>1304</v>
      </c>
      <c r="F403" s="6" t="s">
        <v>2326</v>
      </c>
      <c r="G403" s="6" t="s">
        <v>1306</v>
      </c>
    </row>
    <row r="404" spans="1:7" ht="69.95" customHeight="1">
      <c r="A404" s="6" t="s">
        <v>2272</v>
      </c>
      <c r="B404" s="6" t="s">
        <v>2327</v>
      </c>
      <c r="C404" s="6" t="s">
        <v>2328</v>
      </c>
      <c r="D404" s="6" t="s">
        <v>1303</v>
      </c>
      <c r="E404" s="6" t="s">
        <v>1304</v>
      </c>
      <c r="F404" s="6" t="s">
        <v>2329</v>
      </c>
      <c r="G404" s="6" t="s">
        <v>1306</v>
      </c>
    </row>
    <row r="405" spans="1:7" ht="69.95" customHeight="1">
      <c r="A405" s="6" t="s">
        <v>2272</v>
      </c>
      <c r="B405" s="6" t="s">
        <v>2330</v>
      </c>
      <c r="C405" s="6" t="s">
        <v>2331</v>
      </c>
      <c r="D405" s="6" t="s">
        <v>1303</v>
      </c>
      <c r="E405" s="6" t="s">
        <v>1304</v>
      </c>
      <c r="F405" s="6" t="s">
        <v>2332</v>
      </c>
      <c r="G405" s="6" t="s">
        <v>1306</v>
      </c>
    </row>
    <row r="406" spans="1:7" ht="69.95" customHeight="1">
      <c r="A406" s="6" t="s">
        <v>2272</v>
      </c>
      <c r="B406" s="6" t="s">
        <v>2333</v>
      </c>
      <c r="C406" s="6" t="s">
        <v>2334</v>
      </c>
      <c r="D406" s="6" t="s">
        <v>1303</v>
      </c>
      <c r="E406" s="6" t="s">
        <v>1304</v>
      </c>
      <c r="F406" s="6" t="s">
        <v>2335</v>
      </c>
      <c r="G406" s="6" t="s">
        <v>1306</v>
      </c>
    </row>
    <row r="407" spans="1:7" ht="69.95" customHeight="1">
      <c r="A407" s="6" t="s">
        <v>2336</v>
      </c>
      <c r="B407" s="6" t="s">
        <v>2337</v>
      </c>
      <c r="C407" s="6" t="s">
        <v>2338</v>
      </c>
      <c r="D407" s="6" t="s">
        <v>1303</v>
      </c>
      <c r="E407" s="6" t="s">
        <v>1304</v>
      </c>
      <c r="F407" s="6" t="s">
        <v>2339</v>
      </c>
      <c r="G407" s="6" t="s">
        <v>1306</v>
      </c>
    </row>
    <row r="408" spans="1:7" ht="69.95" customHeight="1">
      <c r="A408" s="6" t="s">
        <v>2336</v>
      </c>
      <c r="B408" s="6" t="s">
        <v>2340</v>
      </c>
      <c r="C408" s="6" t="s">
        <v>2341</v>
      </c>
      <c r="D408" s="6" t="s">
        <v>1303</v>
      </c>
      <c r="E408" s="6" t="s">
        <v>1304</v>
      </c>
      <c r="F408" s="6" t="s">
        <v>2342</v>
      </c>
      <c r="G408" s="6" t="s">
        <v>1306</v>
      </c>
    </row>
    <row r="409" spans="1:7" ht="69.95" customHeight="1">
      <c r="A409" s="6" t="s">
        <v>2336</v>
      </c>
      <c r="B409" s="6" t="s">
        <v>2343</v>
      </c>
      <c r="C409" s="6" t="s">
        <v>2344</v>
      </c>
      <c r="D409" s="6" t="s">
        <v>1303</v>
      </c>
      <c r="E409" s="6" t="s">
        <v>1304</v>
      </c>
      <c r="F409" s="6" t="s">
        <v>2345</v>
      </c>
      <c r="G409" s="6" t="s">
        <v>1306</v>
      </c>
    </row>
    <row r="410" spans="1:7" ht="69.95" customHeight="1">
      <c r="A410" s="6" t="s">
        <v>2346</v>
      </c>
      <c r="B410" s="6" t="s">
        <v>2347</v>
      </c>
      <c r="C410" s="6" t="s">
        <v>2348</v>
      </c>
      <c r="D410" s="6" t="s">
        <v>1303</v>
      </c>
      <c r="E410" s="6" t="s">
        <v>1304</v>
      </c>
      <c r="F410" s="6" t="s">
        <v>2349</v>
      </c>
      <c r="G410" s="6" t="s">
        <v>1306</v>
      </c>
    </row>
    <row r="411" spans="1:7" ht="69.95" customHeight="1">
      <c r="A411" s="6" t="s">
        <v>2346</v>
      </c>
      <c r="B411" s="6" t="s">
        <v>2350</v>
      </c>
      <c r="C411" s="6" t="s">
        <v>2351</v>
      </c>
      <c r="D411" s="6" t="s">
        <v>1303</v>
      </c>
      <c r="E411" s="6" t="s">
        <v>1304</v>
      </c>
      <c r="F411" s="6" t="s">
        <v>2352</v>
      </c>
      <c r="G411" s="6" t="s">
        <v>1306</v>
      </c>
    </row>
    <row r="412" spans="1:7" ht="69.95" customHeight="1">
      <c r="A412" s="6" t="s">
        <v>2346</v>
      </c>
      <c r="B412" s="6" t="s">
        <v>2353</v>
      </c>
      <c r="C412" s="6" t="s">
        <v>2354</v>
      </c>
      <c r="D412" s="6" t="s">
        <v>1303</v>
      </c>
      <c r="E412" s="6" t="s">
        <v>1304</v>
      </c>
      <c r="F412" s="6" t="s">
        <v>2355</v>
      </c>
      <c r="G412" s="6" t="s">
        <v>1306</v>
      </c>
    </row>
    <row r="413" spans="1:7" ht="69.95" customHeight="1">
      <c r="A413" s="6" t="s">
        <v>2346</v>
      </c>
      <c r="B413" s="6" t="s">
        <v>2356</v>
      </c>
      <c r="C413" s="6" t="s">
        <v>2357</v>
      </c>
      <c r="D413" s="6" t="s">
        <v>1303</v>
      </c>
      <c r="E413" s="6" t="s">
        <v>1304</v>
      </c>
      <c r="F413" s="6" t="s">
        <v>2358</v>
      </c>
      <c r="G413" s="6" t="s">
        <v>1306</v>
      </c>
    </row>
    <row r="414" spans="1:7" ht="69.95" customHeight="1">
      <c r="A414" s="6" t="s">
        <v>2346</v>
      </c>
      <c r="B414" s="6" t="s">
        <v>2359</v>
      </c>
      <c r="C414" s="6" t="s">
        <v>2360</v>
      </c>
      <c r="D414" s="6" t="s">
        <v>1303</v>
      </c>
      <c r="E414" s="6" t="s">
        <v>1304</v>
      </c>
      <c r="F414" s="6" t="s">
        <v>2361</v>
      </c>
      <c r="G414" s="6" t="s">
        <v>1306</v>
      </c>
    </row>
    <row r="415" spans="1:7" ht="69.95" customHeight="1">
      <c r="A415" s="6" t="s">
        <v>2346</v>
      </c>
      <c r="B415" s="6" t="s">
        <v>2362</v>
      </c>
      <c r="C415" s="6" t="s">
        <v>2363</v>
      </c>
      <c r="D415" s="6" t="s">
        <v>1303</v>
      </c>
      <c r="E415" s="6" t="s">
        <v>1304</v>
      </c>
      <c r="F415" s="6" t="s">
        <v>2364</v>
      </c>
      <c r="G415" s="6" t="s">
        <v>1306</v>
      </c>
    </row>
    <row r="416" spans="1:7" ht="69.95" customHeight="1">
      <c r="A416" s="6" t="s">
        <v>2346</v>
      </c>
      <c r="B416" s="6" t="s">
        <v>2365</v>
      </c>
      <c r="C416" s="6" t="s">
        <v>2366</v>
      </c>
      <c r="D416" s="6" t="s">
        <v>1303</v>
      </c>
      <c r="E416" s="6" t="s">
        <v>1304</v>
      </c>
      <c r="F416" s="6" t="s">
        <v>2367</v>
      </c>
      <c r="G416" s="6" t="s">
        <v>1306</v>
      </c>
    </row>
    <row r="417" spans="1:7" ht="69.95" customHeight="1">
      <c r="A417" s="6" t="s">
        <v>2346</v>
      </c>
      <c r="B417" s="6" t="s">
        <v>2368</v>
      </c>
      <c r="C417" s="6" t="s">
        <v>2369</v>
      </c>
      <c r="D417" s="6" t="s">
        <v>1303</v>
      </c>
      <c r="E417" s="6" t="s">
        <v>1304</v>
      </c>
      <c r="F417" s="6" t="s">
        <v>2370</v>
      </c>
      <c r="G417" s="6" t="s">
        <v>1306</v>
      </c>
    </row>
    <row r="418" spans="1:7" ht="69.95" customHeight="1">
      <c r="A418" s="6" t="s">
        <v>2346</v>
      </c>
      <c r="B418" s="6" t="s">
        <v>2371</v>
      </c>
      <c r="C418" s="6" t="s">
        <v>2372</v>
      </c>
      <c r="D418" s="6" t="s">
        <v>1303</v>
      </c>
      <c r="E418" s="6" t="s">
        <v>1304</v>
      </c>
      <c r="F418" s="6" t="s">
        <v>2373</v>
      </c>
      <c r="G418" s="6" t="s">
        <v>1306</v>
      </c>
    </row>
    <row r="419" spans="1:7" ht="69.95" customHeight="1">
      <c r="A419" s="6" t="s">
        <v>2346</v>
      </c>
      <c r="B419" s="6" t="s">
        <v>2374</v>
      </c>
      <c r="C419" s="6" t="s">
        <v>2375</v>
      </c>
      <c r="D419" s="6" t="s">
        <v>1303</v>
      </c>
      <c r="E419" s="6" t="s">
        <v>1304</v>
      </c>
      <c r="F419" s="6" t="s">
        <v>2376</v>
      </c>
      <c r="G419" s="6" t="s">
        <v>1306</v>
      </c>
    </row>
    <row r="420" spans="1:7" ht="69.95" customHeight="1">
      <c r="A420" s="6" t="s">
        <v>2346</v>
      </c>
      <c r="B420" s="6" t="s">
        <v>2377</v>
      </c>
      <c r="C420" s="6" t="s">
        <v>2378</v>
      </c>
      <c r="D420" s="6" t="s">
        <v>1303</v>
      </c>
      <c r="E420" s="6" t="s">
        <v>1304</v>
      </c>
      <c r="F420" s="6" t="s">
        <v>2379</v>
      </c>
      <c r="G420" s="6" t="s">
        <v>1306</v>
      </c>
    </row>
    <row r="421" spans="1:7" ht="69.95" customHeight="1">
      <c r="A421" s="6" t="s">
        <v>2346</v>
      </c>
      <c r="B421" s="6" t="s">
        <v>2380</v>
      </c>
      <c r="C421" s="6" t="s">
        <v>2381</v>
      </c>
      <c r="D421" s="6" t="s">
        <v>1303</v>
      </c>
      <c r="E421" s="6" t="s">
        <v>1304</v>
      </c>
      <c r="F421" s="6" t="s">
        <v>2382</v>
      </c>
      <c r="G421" s="6" t="s">
        <v>1306</v>
      </c>
    </row>
    <row r="422" spans="1:7" ht="69.95" customHeight="1">
      <c r="A422" s="6" t="s">
        <v>2346</v>
      </c>
      <c r="B422" s="6" t="s">
        <v>2383</v>
      </c>
      <c r="C422" s="6" t="s">
        <v>2384</v>
      </c>
      <c r="D422" s="6" t="s">
        <v>1303</v>
      </c>
      <c r="E422" s="6" t="s">
        <v>1304</v>
      </c>
      <c r="F422" s="6" t="s">
        <v>2385</v>
      </c>
      <c r="G422" s="6" t="s">
        <v>1306</v>
      </c>
    </row>
    <row r="423" spans="1:7" ht="69.95" customHeight="1">
      <c r="A423" s="6" t="s">
        <v>2346</v>
      </c>
      <c r="B423" s="6" t="s">
        <v>2386</v>
      </c>
      <c r="C423" s="6" t="s">
        <v>2387</v>
      </c>
      <c r="D423" s="6" t="s">
        <v>1303</v>
      </c>
      <c r="E423" s="6" t="s">
        <v>1304</v>
      </c>
      <c r="F423" s="6" t="s">
        <v>2388</v>
      </c>
      <c r="G423" s="6" t="s">
        <v>1306</v>
      </c>
    </row>
    <row r="424" spans="1:7" ht="69.95" customHeight="1">
      <c r="A424" s="6" t="s">
        <v>2346</v>
      </c>
      <c r="B424" s="6" t="s">
        <v>2389</v>
      </c>
      <c r="C424" s="6" t="s">
        <v>2390</v>
      </c>
      <c r="D424" s="6" t="s">
        <v>1303</v>
      </c>
      <c r="E424" s="6" t="s">
        <v>1304</v>
      </c>
      <c r="F424" s="6" t="s">
        <v>2391</v>
      </c>
      <c r="G424" s="6" t="s">
        <v>1306</v>
      </c>
    </row>
    <row r="425" spans="1:7" ht="69.95" customHeight="1">
      <c r="A425" s="6" t="s">
        <v>2346</v>
      </c>
      <c r="B425" s="6" t="s">
        <v>2392</v>
      </c>
      <c r="C425" s="6" t="s">
        <v>2393</v>
      </c>
      <c r="D425" s="6" t="s">
        <v>1303</v>
      </c>
      <c r="E425" s="6" t="s">
        <v>1304</v>
      </c>
      <c r="F425" s="6" t="s">
        <v>2394</v>
      </c>
      <c r="G425" s="6" t="s">
        <v>1306</v>
      </c>
    </row>
    <row r="426" spans="1:7" ht="69.95" customHeight="1">
      <c r="A426" s="6" t="s">
        <v>2346</v>
      </c>
      <c r="B426" s="6" t="s">
        <v>2395</v>
      </c>
      <c r="C426" s="6" t="s">
        <v>2396</v>
      </c>
      <c r="D426" s="6" t="s">
        <v>1303</v>
      </c>
      <c r="E426" s="6" t="s">
        <v>1304</v>
      </c>
      <c r="F426" s="6" t="s">
        <v>2397</v>
      </c>
      <c r="G426" s="6" t="s">
        <v>1306</v>
      </c>
    </row>
    <row r="427" spans="1:7" ht="69.95" customHeight="1">
      <c r="A427" s="6" t="s">
        <v>2346</v>
      </c>
      <c r="B427" s="6" t="s">
        <v>2398</v>
      </c>
      <c r="C427" s="6" t="s">
        <v>2399</v>
      </c>
      <c r="D427" s="6" t="s">
        <v>1303</v>
      </c>
      <c r="E427" s="6" t="s">
        <v>1304</v>
      </c>
      <c r="F427" s="6" t="s">
        <v>2400</v>
      </c>
      <c r="G427" s="6" t="s">
        <v>1306</v>
      </c>
    </row>
    <row r="428" spans="1:7" ht="69.95" customHeight="1">
      <c r="A428" s="6" t="s">
        <v>2346</v>
      </c>
      <c r="B428" s="6" t="s">
        <v>2084</v>
      </c>
      <c r="C428" s="6" t="s">
        <v>2085</v>
      </c>
      <c r="D428" s="6" t="s">
        <v>1303</v>
      </c>
      <c r="E428" s="6" t="s">
        <v>1304</v>
      </c>
      <c r="F428" s="6" t="s">
        <v>2401</v>
      </c>
      <c r="G428" s="6" t="s">
        <v>1306</v>
      </c>
    </row>
    <row r="429" spans="1:7" ht="69.95" customHeight="1">
      <c r="A429" s="6" t="s">
        <v>2346</v>
      </c>
      <c r="B429" s="6" t="s">
        <v>2087</v>
      </c>
      <c r="C429" s="6" t="s">
        <v>2088</v>
      </c>
      <c r="D429" s="6" t="s">
        <v>1303</v>
      </c>
      <c r="E429" s="6" t="s">
        <v>1304</v>
      </c>
      <c r="F429" s="6" t="s">
        <v>2402</v>
      </c>
      <c r="G429" s="6" t="s">
        <v>1306</v>
      </c>
    </row>
    <row r="430" spans="1:7" ht="69.95" customHeight="1">
      <c r="A430" s="6" t="s">
        <v>2346</v>
      </c>
      <c r="B430" s="6" t="s">
        <v>2090</v>
      </c>
      <c r="C430" s="6" t="s">
        <v>2091</v>
      </c>
      <c r="D430" s="6" t="s">
        <v>1303</v>
      </c>
      <c r="E430" s="6" t="s">
        <v>1304</v>
      </c>
      <c r="F430" s="6" t="s">
        <v>2403</v>
      </c>
      <c r="G430" s="6" t="s">
        <v>1306</v>
      </c>
    </row>
    <row r="431" spans="1:7" ht="69.95" customHeight="1">
      <c r="A431" s="6" t="s">
        <v>2346</v>
      </c>
      <c r="B431" s="6" t="s">
        <v>2093</v>
      </c>
      <c r="C431" s="6" t="s">
        <v>2094</v>
      </c>
      <c r="D431" s="6" t="s">
        <v>1303</v>
      </c>
      <c r="E431" s="6" t="s">
        <v>1304</v>
      </c>
      <c r="F431" s="6" t="s">
        <v>2404</v>
      </c>
      <c r="G431" s="6" t="s">
        <v>1306</v>
      </c>
    </row>
    <row r="432" spans="1:7" ht="69.95" customHeight="1">
      <c r="A432" s="6" t="s">
        <v>2346</v>
      </c>
      <c r="B432" s="6" t="s">
        <v>2096</v>
      </c>
      <c r="C432" s="6" t="s">
        <v>2097</v>
      </c>
      <c r="D432" s="6" t="s">
        <v>1303</v>
      </c>
      <c r="E432" s="6" t="s">
        <v>1304</v>
      </c>
      <c r="F432" s="6" t="s">
        <v>2405</v>
      </c>
      <c r="G432" s="6" t="s">
        <v>1306</v>
      </c>
    </row>
    <row r="433" spans="1:7" ht="69.95" customHeight="1">
      <c r="A433" s="6" t="s">
        <v>2346</v>
      </c>
      <c r="B433" s="6" t="s">
        <v>2099</v>
      </c>
      <c r="C433" s="6" t="s">
        <v>2100</v>
      </c>
      <c r="D433" s="6" t="s">
        <v>1303</v>
      </c>
      <c r="E433" s="6" t="s">
        <v>1304</v>
      </c>
      <c r="F433" s="6" t="s">
        <v>2406</v>
      </c>
      <c r="G433" s="6" t="s">
        <v>1306</v>
      </c>
    </row>
    <row r="434" spans="1:7" ht="69.95" customHeight="1">
      <c r="A434" s="6" t="s">
        <v>2407</v>
      </c>
      <c r="B434" s="6" t="s">
        <v>2408</v>
      </c>
      <c r="C434" s="6" t="s">
        <v>2409</v>
      </c>
      <c r="D434" s="6" t="s">
        <v>1303</v>
      </c>
      <c r="E434" s="6" t="s">
        <v>1304</v>
      </c>
      <c r="F434" s="6" t="s">
        <v>2410</v>
      </c>
      <c r="G434" s="6" t="s">
        <v>1306</v>
      </c>
    </row>
    <row r="435" spans="1:7" ht="69.95" customHeight="1">
      <c r="A435" s="6" t="s">
        <v>2407</v>
      </c>
      <c r="B435" s="6" t="s">
        <v>2411</v>
      </c>
      <c r="C435" s="6" t="s">
        <v>2412</v>
      </c>
      <c r="D435" s="6" t="s">
        <v>1303</v>
      </c>
      <c r="E435" s="6" t="s">
        <v>1304</v>
      </c>
      <c r="F435" s="6" t="s">
        <v>2413</v>
      </c>
      <c r="G435" s="6" t="s">
        <v>1306</v>
      </c>
    </row>
    <row r="436" spans="1:7" ht="69.95" customHeight="1">
      <c r="A436" s="6" t="s">
        <v>2407</v>
      </c>
      <c r="B436" s="6" t="s">
        <v>2414</v>
      </c>
      <c r="C436" s="6" t="s">
        <v>2415</v>
      </c>
      <c r="D436" s="6" t="s">
        <v>1303</v>
      </c>
      <c r="E436" s="6" t="s">
        <v>1304</v>
      </c>
      <c r="F436" s="6" t="s">
        <v>2416</v>
      </c>
      <c r="G436" s="6" t="s">
        <v>1306</v>
      </c>
    </row>
    <row r="437" spans="1:7" ht="69.95" customHeight="1">
      <c r="A437" s="6" t="s">
        <v>2407</v>
      </c>
      <c r="B437" s="6" t="s">
        <v>2417</v>
      </c>
      <c r="C437" s="6" t="s">
        <v>2418</v>
      </c>
      <c r="D437" s="6" t="s">
        <v>1303</v>
      </c>
      <c r="E437" s="6" t="s">
        <v>1304</v>
      </c>
      <c r="F437" s="6" t="s">
        <v>2419</v>
      </c>
      <c r="G437" s="6" t="s">
        <v>1306</v>
      </c>
    </row>
    <row r="438" spans="1:7" ht="69.95" customHeight="1">
      <c r="A438" s="6" t="s">
        <v>2407</v>
      </c>
      <c r="B438" s="6" t="s">
        <v>2420</v>
      </c>
      <c r="C438" s="6" t="s">
        <v>2421</v>
      </c>
      <c r="D438" s="6" t="s">
        <v>1303</v>
      </c>
      <c r="E438" s="6" t="s">
        <v>1304</v>
      </c>
      <c r="F438" s="6" t="s">
        <v>2422</v>
      </c>
      <c r="G438" s="6" t="s">
        <v>1306</v>
      </c>
    </row>
    <row r="439" spans="1:7" ht="69.95" customHeight="1">
      <c r="A439" s="6" t="s">
        <v>2407</v>
      </c>
      <c r="B439" s="6" t="s">
        <v>2423</v>
      </c>
      <c r="C439" s="6" t="s">
        <v>2424</v>
      </c>
      <c r="D439" s="6" t="s">
        <v>1303</v>
      </c>
      <c r="E439" s="6" t="s">
        <v>1304</v>
      </c>
      <c r="F439" s="6" t="s">
        <v>2425</v>
      </c>
      <c r="G439" s="6" t="s">
        <v>1306</v>
      </c>
    </row>
    <row r="440" spans="1:7" ht="69.95" customHeight="1">
      <c r="A440" s="6" t="s">
        <v>2407</v>
      </c>
      <c r="B440" s="6" t="s">
        <v>2426</v>
      </c>
      <c r="C440" s="6" t="s">
        <v>2427</v>
      </c>
      <c r="D440" s="6" t="s">
        <v>1303</v>
      </c>
      <c r="E440" s="6" t="s">
        <v>1304</v>
      </c>
      <c r="F440" s="6" t="s">
        <v>2428</v>
      </c>
      <c r="G440" s="6" t="s">
        <v>1306</v>
      </c>
    </row>
    <row r="441" spans="1:7" ht="69.95" customHeight="1">
      <c r="A441" s="6" t="s">
        <v>2407</v>
      </c>
      <c r="B441" s="6" t="s">
        <v>2429</v>
      </c>
      <c r="C441" s="6" t="s">
        <v>2430</v>
      </c>
      <c r="D441" s="6" t="s">
        <v>1303</v>
      </c>
      <c r="E441" s="6" t="s">
        <v>1304</v>
      </c>
      <c r="F441" s="6" t="s">
        <v>2431</v>
      </c>
      <c r="G441" s="6" t="s">
        <v>1306</v>
      </c>
    </row>
    <row r="442" spans="1:7" ht="69.95" customHeight="1">
      <c r="A442" s="6" t="s">
        <v>2407</v>
      </c>
      <c r="B442" s="6" t="s">
        <v>2432</v>
      </c>
      <c r="C442" s="6" t="s">
        <v>2433</v>
      </c>
      <c r="D442" s="6" t="s">
        <v>1303</v>
      </c>
      <c r="E442" s="6" t="s">
        <v>1304</v>
      </c>
      <c r="F442" s="6" t="s">
        <v>2434</v>
      </c>
      <c r="G442" s="6" t="s">
        <v>1306</v>
      </c>
    </row>
    <row r="443" spans="1:7" ht="69.95" customHeight="1">
      <c r="A443" s="6" t="s">
        <v>2407</v>
      </c>
      <c r="B443" s="6" t="s">
        <v>2435</v>
      </c>
      <c r="C443" s="6" t="s">
        <v>2436</v>
      </c>
      <c r="D443" s="6" t="s">
        <v>1303</v>
      </c>
      <c r="E443" s="6" t="s">
        <v>1304</v>
      </c>
      <c r="F443" s="6" t="s">
        <v>2437</v>
      </c>
      <c r="G443" s="6" t="s">
        <v>1306</v>
      </c>
    </row>
    <row r="444" spans="1:7" ht="69.95" customHeight="1">
      <c r="A444" s="6" t="s">
        <v>2407</v>
      </c>
      <c r="B444" s="6" t="s">
        <v>2438</v>
      </c>
      <c r="C444" s="6" t="s">
        <v>2439</v>
      </c>
      <c r="D444" s="6" t="s">
        <v>1303</v>
      </c>
      <c r="E444" s="6" t="s">
        <v>1304</v>
      </c>
      <c r="F444" s="6" t="s">
        <v>2440</v>
      </c>
      <c r="G444" s="6" t="s">
        <v>1306</v>
      </c>
    </row>
    <row r="445" spans="1:7" ht="69.95" customHeight="1">
      <c r="A445" s="6" t="s">
        <v>2407</v>
      </c>
      <c r="B445" s="6" t="s">
        <v>2441</v>
      </c>
      <c r="C445" s="6" t="s">
        <v>2442</v>
      </c>
      <c r="D445" s="6" t="s">
        <v>1303</v>
      </c>
      <c r="E445" s="6" t="s">
        <v>1304</v>
      </c>
      <c r="F445" s="6" t="s">
        <v>2443</v>
      </c>
      <c r="G445" s="6" t="s">
        <v>1306</v>
      </c>
    </row>
    <row r="446" spans="1:7" ht="69.95" customHeight="1">
      <c r="A446" s="6" t="s">
        <v>2407</v>
      </c>
      <c r="B446" s="6" t="s">
        <v>2444</v>
      </c>
      <c r="C446" s="6" t="s">
        <v>2445</v>
      </c>
      <c r="D446" s="6" t="s">
        <v>1303</v>
      </c>
      <c r="E446" s="6" t="s">
        <v>1304</v>
      </c>
      <c r="F446" s="6" t="s">
        <v>2446</v>
      </c>
      <c r="G446" s="6" t="s">
        <v>1306</v>
      </c>
    </row>
    <row r="447" spans="1:7" ht="69.95" customHeight="1">
      <c r="A447" s="6" t="s">
        <v>2407</v>
      </c>
      <c r="B447" s="6" t="s">
        <v>2447</v>
      </c>
      <c r="C447" s="6" t="s">
        <v>2448</v>
      </c>
      <c r="D447" s="6" t="s">
        <v>1303</v>
      </c>
      <c r="E447" s="6" t="s">
        <v>1304</v>
      </c>
      <c r="F447" s="6" t="s">
        <v>2449</v>
      </c>
      <c r="G447" s="6" t="s">
        <v>1306</v>
      </c>
    </row>
    <row r="448" spans="1:7" ht="69.95" customHeight="1">
      <c r="A448" s="6" t="s">
        <v>2407</v>
      </c>
      <c r="B448" s="6" t="s">
        <v>2450</v>
      </c>
      <c r="C448" s="6" t="s">
        <v>2451</v>
      </c>
      <c r="D448" s="6" t="s">
        <v>1303</v>
      </c>
      <c r="E448" s="6" t="s">
        <v>1304</v>
      </c>
      <c r="F448" s="6" t="s">
        <v>2452</v>
      </c>
      <c r="G448" s="6" t="s">
        <v>1306</v>
      </c>
    </row>
    <row r="449" spans="1:7" ht="69.95" customHeight="1">
      <c r="A449" s="6" t="s">
        <v>2453</v>
      </c>
      <c r="B449" s="6" t="s">
        <v>2337</v>
      </c>
      <c r="C449" s="6" t="s">
        <v>2454</v>
      </c>
      <c r="D449" s="6" t="s">
        <v>1303</v>
      </c>
      <c r="E449" s="6" t="s">
        <v>1304</v>
      </c>
      <c r="F449" s="6" t="s">
        <v>2455</v>
      </c>
      <c r="G449" s="6" t="s">
        <v>1306</v>
      </c>
    </row>
    <row r="450" spans="1:7" ht="69.95" customHeight="1">
      <c r="A450" s="6" t="s">
        <v>2453</v>
      </c>
      <c r="B450" s="6" t="s">
        <v>2456</v>
      </c>
      <c r="C450" s="6" t="s">
        <v>2457</v>
      </c>
      <c r="D450" s="6" t="s">
        <v>1303</v>
      </c>
      <c r="E450" s="6" t="s">
        <v>1304</v>
      </c>
      <c r="F450" s="6" t="s">
        <v>2458</v>
      </c>
      <c r="G450" s="6" t="s">
        <v>1306</v>
      </c>
    </row>
    <row r="451" spans="1:7" ht="69.95" customHeight="1">
      <c r="A451" s="6" t="s">
        <v>2453</v>
      </c>
      <c r="B451" s="6" t="s">
        <v>2459</v>
      </c>
      <c r="C451" s="6" t="s">
        <v>2460</v>
      </c>
      <c r="D451" s="6" t="s">
        <v>1303</v>
      </c>
      <c r="E451" s="6" t="s">
        <v>1304</v>
      </c>
      <c r="F451" s="6" t="s">
        <v>2461</v>
      </c>
      <c r="G451" s="6" t="s">
        <v>1306</v>
      </c>
    </row>
    <row r="452" spans="1:7" ht="69.95" customHeight="1">
      <c r="A452" s="6" t="s">
        <v>2462</v>
      </c>
      <c r="B452" s="6" t="s">
        <v>2463</v>
      </c>
      <c r="C452" s="6" t="s">
        <v>2464</v>
      </c>
      <c r="D452" s="6" t="s">
        <v>1303</v>
      </c>
      <c r="E452" s="6" t="s">
        <v>1304</v>
      </c>
      <c r="F452" s="6" t="s">
        <v>2465</v>
      </c>
      <c r="G452" s="6" t="s">
        <v>1306</v>
      </c>
    </row>
    <row r="453" spans="1:7" ht="69.95" customHeight="1">
      <c r="A453" s="6" t="s">
        <v>2462</v>
      </c>
      <c r="B453" s="6" t="s">
        <v>2466</v>
      </c>
      <c r="C453" s="6" t="s">
        <v>2467</v>
      </c>
      <c r="D453" s="6" t="s">
        <v>1303</v>
      </c>
      <c r="E453" s="6" t="s">
        <v>1304</v>
      </c>
      <c r="F453" s="6" t="s">
        <v>2468</v>
      </c>
      <c r="G453" s="6" t="s">
        <v>1306</v>
      </c>
    </row>
    <row r="454" spans="1:7" ht="69.95" customHeight="1">
      <c r="A454" s="6" t="s">
        <v>2462</v>
      </c>
      <c r="B454" s="6" t="s">
        <v>2469</v>
      </c>
      <c r="C454" s="6" t="s">
        <v>2470</v>
      </c>
      <c r="D454" s="6" t="s">
        <v>1303</v>
      </c>
      <c r="E454" s="6" t="s">
        <v>1304</v>
      </c>
      <c r="F454" s="6" t="s">
        <v>2471</v>
      </c>
      <c r="G454" s="6" t="s">
        <v>1306</v>
      </c>
    </row>
    <row r="455" spans="1:7" ht="69.95" customHeight="1">
      <c r="A455" s="6" t="s">
        <v>2462</v>
      </c>
      <c r="B455" s="6" t="s">
        <v>2472</v>
      </c>
      <c r="C455" s="6" t="s">
        <v>2473</v>
      </c>
      <c r="D455" s="6" t="s">
        <v>1303</v>
      </c>
      <c r="E455" s="6" t="s">
        <v>1304</v>
      </c>
      <c r="F455" s="6" t="s">
        <v>2474</v>
      </c>
      <c r="G455" s="6" t="s">
        <v>1306</v>
      </c>
    </row>
    <row r="456" spans="1:7" ht="69.95" customHeight="1">
      <c r="A456" s="6" t="s">
        <v>2462</v>
      </c>
      <c r="B456" s="6" t="s">
        <v>2475</v>
      </c>
      <c r="C456" s="6" t="s">
        <v>2476</v>
      </c>
      <c r="D456" s="6" t="s">
        <v>1303</v>
      </c>
      <c r="E456" s="6" t="s">
        <v>1304</v>
      </c>
      <c r="F456" s="6" t="s">
        <v>2477</v>
      </c>
      <c r="G456" s="6" t="s">
        <v>1306</v>
      </c>
    </row>
    <row r="457" spans="1:7" ht="69.95" customHeight="1">
      <c r="A457" s="6" t="s">
        <v>2462</v>
      </c>
      <c r="B457" s="6" t="s">
        <v>2478</v>
      </c>
      <c r="C457" s="6" t="s">
        <v>2479</v>
      </c>
      <c r="D457" s="6" t="s">
        <v>1303</v>
      </c>
      <c r="E457" s="6" t="s">
        <v>1304</v>
      </c>
      <c r="F457" s="6" t="s">
        <v>2480</v>
      </c>
      <c r="G457" s="6" t="s">
        <v>1306</v>
      </c>
    </row>
    <row r="458" spans="1:7" ht="69.95" customHeight="1">
      <c r="A458" s="6" t="s">
        <v>2462</v>
      </c>
      <c r="B458" s="6" t="s">
        <v>2481</v>
      </c>
      <c r="C458" s="6" t="s">
        <v>2482</v>
      </c>
      <c r="D458" s="6" t="s">
        <v>1303</v>
      </c>
      <c r="E458" s="6" t="s">
        <v>1304</v>
      </c>
      <c r="F458" s="6" t="s">
        <v>2483</v>
      </c>
      <c r="G458" s="6" t="s">
        <v>1306</v>
      </c>
    </row>
    <row r="459" spans="1:7" ht="69.95" customHeight="1">
      <c r="A459" s="6" t="s">
        <v>2462</v>
      </c>
      <c r="B459" s="6" t="s">
        <v>2484</v>
      </c>
      <c r="C459" s="6" t="s">
        <v>2485</v>
      </c>
      <c r="D459" s="6" t="s">
        <v>1303</v>
      </c>
      <c r="E459" s="6" t="s">
        <v>1304</v>
      </c>
      <c r="F459" s="6" t="s">
        <v>2486</v>
      </c>
      <c r="G459" s="6" t="s">
        <v>1306</v>
      </c>
    </row>
    <row r="460" spans="1:7" ht="69.95" customHeight="1">
      <c r="A460" s="6" t="s">
        <v>2462</v>
      </c>
      <c r="B460" s="6" t="s">
        <v>2487</v>
      </c>
      <c r="C460" s="6" t="s">
        <v>2488</v>
      </c>
      <c r="D460" s="6" t="s">
        <v>1303</v>
      </c>
      <c r="E460" s="6" t="s">
        <v>1304</v>
      </c>
      <c r="F460" s="6" t="s">
        <v>2489</v>
      </c>
      <c r="G460" s="6" t="s">
        <v>1306</v>
      </c>
    </row>
    <row r="461" spans="1:7" ht="69.95" customHeight="1">
      <c r="A461" s="6" t="s">
        <v>2462</v>
      </c>
      <c r="B461" s="6" t="s">
        <v>2490</v>
      </c>
      <c r="C461" s="6" t="s">
        <v>2491</v>
      </c>
      <c r="D461" s="6" t="s">
        <v>1303</v>
      </c>
      <c r="E461" s="6" t="s">
        <v>1304</v>
      </c>
      <c r="F461" s="6" t="s">
        <v>2492</v>
      </c>
      <c r="G461" s="6" t="s">
        <v>1306</v>
      </c>
    </row>
    <row r="462" spans="1:7" ht="69.95" customHeight="1">
      <c r="A462" s="6" t="s">
        <v>2462</v>
      </c>
      <c r="B462" s="6" t="s">
        <v>2493</v>
      </c>
      <c r="C462" s="6" t="s">
        <v>2494</v>
      </c>
      <c r="D462" s="6" t="s">
        <v>1303</v>
      </c>
      <c r="E462" s="6" t="s">
        <v>1951</v>
      </c>
      <c r="F462" s="6" t="s">
        <v>2495</v>
      </c>
      <c r="G462" s="6" t="s">
        <v>1306</v>
      </c>
    </row>
    <row r="463" spans="1:7" ht="69.95" customHeight="1">
      <c r="A463" s="6" t="s">
        <v>2462</v>
      </c>
      <c r="B463" s="6" t="s">
        <v>2496</v>
      </c>
      <c r="C463" s="6" t="s">
        <v>2497</v>
      </c>
      <c r="D463" s="6" t="s">
        <v>1303</v>
      </c>
      <c r="E463" s="6" t="s">
        <v>1951</v>
      </c>
      <c r="F463" s="6" t="s">
        <v>2498</v>
      </c>
      <c r="G463" s="6" t="s">
        <v>1306</v>
      </c>
    </row>
    <row r="464" spans="1:7" ht="69.95" customHeight="1">
      <c r="A464" s="6" t="s">
        <v>2462</v>
      </c>
      <c r="B464" s="6" t="s">
        <v>2499</v>
      </c>
      <c r="C464" s="6" t="s">
        <v>2500</v>
      </c>
      <c r="D464" s="6" t="s">
        <v>1303</v>
      </c>
      <c r="E464" s="6" t="s">
        <v>1304</v>
      </c>
      <c r="F464" s="6" t="s">
        <v>2501</v>
      </c>
      <c r="G464" s="6" t="s">
        <v>1306</v>
      </c>
    </row>
    <row r="465" spans="1:7" ht="69.95" customHeight="1">
      <c r="A465" s="6" t="s">
        <v>2462</v>
      </c>
      <c r="B465" s="6" t="s">
        <v>2502</v>
      </c>
      <c r="C465" s="6" t="s">
        <v>2503</v>
      </c>
      <c r="D465" s="6" t="s">
        <v>1303</v>
      </c>
      <c r="E465" s="6" t="s">
        <v>1304</v>
      </c>
      <c r="F465" s="6" t="s">
        <v>2504</v>
      </c>
      <c r="G465" s="6" t="s">
        <v>1306</v>
      </c>
    </row>
    <row r="466" spans="1:7" ht="69.95" customHeight="1">
      <c r="A466" s="6" t="s">
        <v>2462</v>
      </c>
      <c r="B466" s="6" t="s">
        <v>2505</v>
      </c>
      <c r="C466" s="6" t="s">
        <v>2506</v>
      </c>
      <c r="D466" s="6" t="s">
        <v>1303</v>
      </c>
      <c r="E466" s="6" t="s">
        <v>1304</v>
      </c>
      <c r="F466" s="6" t="s">
        <v>2507</v>
      </c>
      <c r="G466" s="6" t="s">
        <v>1306</v>
      </c>
    </row>
    <row r="467" spans="1:7" ht="69.95" customHeight="1">
      <c r="A467" s="6" t="s">
        <v>2462</v>
      </c>
      <c r="B467" s="6" t="s">
        <v>2508</v>
      </c>
      <c r="C467" s="6" t="s">
        <v>2509</v>
      </c>
      <c r="D467" s="6" t="s">
        <v>1303</v>
      </c>
      <c r="E467" s="6" t="s">
        <v>1304</v>
      </c>
      <c r="F467" s="6" t="s">
        <v>2510</v>
      </c>
      <c r="G467" s="6" t="s">
        <v>1306</v>
      </c>
    </row>
    <row r="468" spans="1:7" ht="69.95" customHeight="1">
      <c r="A468" s="6" t="s">
        <v>2462</v>
      </c>
      <c r="B468" s="6" t="s">
        <v>2511</v>
      </c>
      <c r="C468" s="6" t="s">
        <v>2512</v>
      </c>
      <c r="D468" s="6" t="s">
        <v>1303</v>
      </c>
      <c r="E468" s="6" t="s">
        <v>1304</v>
      </c>
      <c r="F468" s="6" t="s">
        <v>2513</v>
      </c>
      <c r="G468" s="6" t="s">
        <v>1306</v>
      </c>
    </row>
    <row r="469" spans="1:7" ht="69.95" customHeight="1">
      <c r="A469" s="6" t="s">
        <v>2462</v>
      </c>
      <c r="B469" s="6" t="s">
        <v>2514</v>
      </c>
      <c r="C469" s="6" t="s">
        <v>2515</v>
      </c>
      <c r="D469" s="6" t="s">
        <v>1303</v>
      </c>
      <c r="E469" s="6" t="s">
        <v>1304</v>
      </c>
      <c r="F469" s="6" t="s">
        <v>2516</v>
      </c>
      <c r="G469" s="6" t="s">
        <v>1306</v>
      </c>
    </row>
    <row r="470" spans="1:7" ht="69.95" customHeight="1">
      <c r="A470" s="6" t="s">
        <v>2462</v>
      </c>
      <c r="B470" s="6" t="s">
        <v>2517</v>
      </c>
      <c r="C470" s="6" t="s">
        <v>2518</v>
      </c>
      <c r="D470" s="6" t="s">
        <v>1303</v>
      </c>
      <c r="E470" s="6" t="s">
        <v>1304</v>
      </c>
      <c r="F470" s="6" t="s">
        <v>2519</v>
      </c>
      <c r="G470" s="6" t="s">
        <v>1306</v>
      </c>
    </row>
    <row r="471" spans="1:7" ht="69.95" customHeight="1">
      <c r="A471" s="6" t="s">
        <v>2462</v>
      </c>
      <c r="B471" s="6" t="s">
        <v>2520</v>
      </c>
      <c r="C471" s="6" t="s">
        <v>2521</v>
      </c>
      <c r="D471" s="6" t="s">
        <v>1303</v>
      </c>
      <c r="E471" s="6" t="s">
        <v>1304</v>
      </c>
      <c r="F471" s="6" t="s">
        <v>2522</v>
      </c>
      <c r="G471" s="6" t="s">
        <v>1306</v>
      </c>
    </row>
    <row r="472" spans="1:7" ht="69.95" customHeight="1">
      <c r="A472" s="6" t="s">
        <v>2462</v>
      </c>
      <c r="B472" s="6" t="s">
        <v>2523</v>
      </c>
      <c r="C472" s="6" t="s">
        <v>2524</v>
      </c>
      <c r="D472" s="6" t="s">
        <v>1303</v>
      </c>
      <c r="E472" s="6" t="s">
        <v>1304</v>
      </c>
      <c r="F472" s="6" t="s">
        <v>2525</v>
      </c>
      <c r="G472" s="6" t="s">
        <v>1306</v>
      </c>
    </row>
    <row r="473" spans="1:7" ht="69.95" customHeight="1">
      <c r="A473" s="6" t="s">
        <v>2526</v>
      </c>
      <c r="B473" s="6" t="s">
        <v>2527</v>
      </c>
      <c r="C473" s="6" t="s">
        <v>2528</v>
      </c>
      <c r="D473" s="6" t="s">
        <v>1303</v>
      </c>
      <c r="E473" s="6" t="s">
        <v>1304</v>
      </c>
      <c r="F473" s="6" t="s">
        <v>2529</v>
      </c>
      <c r="G473" s="6" t="s">
        <v>1306</v>
      </c>
    </row>
    <row r="474" spans="1:7" ht="69.95" customHeight="1">
      <c r="A474" s="6" t="s">
        <v>2526</v>
      </c>
      <c r="B474" s="6" t="s">
        <v>2530</v>
      </c>
      <c r="C474" s="6" t="s">
        <v>2531</v>
      </c>
      <c r="D474" s="6" t="s">
        <v>1303</v>
      </c>
      <c r="E474" s="6" t="s">
        <v>1304</v>
      </c>
      <c r="F474" s="6" t="s">
        <v>2532</v>
      </c>
      <c r="G474" s="6" t="s">
        <v>1306</v>
      </c>
    </row>
    <row r="475" spans="1:7" ht="69.95" customHeight="1">
      <c r="A475" s="6" t="s">
        <v>2526</v>
      </c>
      <c r="B475" s="6" t="s">
        <v>2533</v>
      </c>
      <c r="C475" s="6" t="s">
        <v>2534</v>
      </c>
      <c r="D475" s="6" t="s">
        <v>1303</v>
      </c>
      <c r="E475" s="6" t="s">
        <v>1304</v>
      </c>
      <c r="F475" s="6" t="s">
        <v>2535</v>
      </c>
      <c r="G475" s="6" t="s">
        <v>1306</v>
      </c>
    </row>
    <row r="476" spans="1:7" ht="69.95" customHeight="1">
      <c r="A476" s="6" t="s">
        <v>2526</v>
      </c>
      <c r="B476" s="6" t="s">
        <v>2536</v>
      </c>
      <c r="C476" s="6" t="s">
        <v>2537</v>
      </c>
      <c r="D476" s="6" t="s">
        <v>1303</v>
      </c>
      <c r="E476" s="6" t="s">
        <v>1304</v>
      </c>
      <c r="F476" s="6" t="s">
        <v>2538</v>
      </c>
      <c r="G476" s="6" t="s">
        <v>1306</v>
      </c>
    </row>
    <row r="477" spans="1:7" ht="69.95" customHeight="1">
      <c r="A477" s="6" t="s">
        <v>2526</v>
      </c>
      <c r="B477" s="6" t="s">
        <v>2539</v>
      </c>
      <c r="C477" s="6" t="s">
        <v>2540</v>
      </c>
      <c r="D477" s="6" t="s">
        <v>1303</v>
      </c>
      <c r="E477" s="6" t="s">
        <v>1304</v>
      </c>
      <c r="F477" s="6" t="s">
        <v>2541</v>
      </c>
      <c r="G477" s="6" t="s">
        <v>1306</v>
      </c>
    </row>
    <row r="478" spans="1:7" ht="69.95" customHeight="1">
      <c r="A478" s="6" t="s">
        <v>2526</v>
      </c>
      <c r="B478" s="6" t="s">
        <v>2542</v>
      </c>
      <c r="C478" s="6" t="s">
        <v>2543</v>
      </c>
      <c r="D478" s="6" t="s">
        <v>1303</v>
      </c>
      <c r="E478" s="6" t="s">
        <v>1304</v>
      </c>
      <c r="F478" s="6" t="s">
        <v>2544</v>
      </c>
      <c r="G478" s="6" t="s">
        <v>1306</v>
      </c>
    </row>
    <row r="479" spans="1:7" ht="69.95" customHeight="1">
      <c r="A479" s="6" t="s">
        <v>2526</v>
      </c>
      <c r="B479" s="6" t="s">
        <v>2545</v>
      </c>
      <c r="C479" s="6" t="s">
        <v>2546</v>
      </c>
      <c r="D479" s="6" t="s">
        <v>1303</v>
      </c>
      <c r="E479" s="6" t="s">
        <v>1304</v>
      </c>
      <c r="F479" s="6" t="s">
        <v>2547</v>
      </c>
      <c r="G479" s="6" t="s">
        <v>1306</v>
      </c>
    </row>
    <row r="480" spans="1:7" ht="69.95" customHeight="1">
      <c r="A480" s="6" t="s">
        <v>2526</v>
      </c>
      <c r="B480" s="6" t="s">
        <v>2548</v>
      </c>
      <c r="C480" s="6" t="s">
        <v>2549</v>
      </c>
      <c r="D480" s="6" t="s">
        <v>1303</v>
      </c>
      <c r="E480" s="6" t="s">
        <v>1304</v>
      </c>
      <c r="F480" s="6" t="s">
        <v>2550</v>
      </c>
      <c r="G480" s="6" t="s">
        <v>1306</v>
      </c>
    </row>
    <row r="481" spans="1:7" ht="69.95" customHeight="1">
      <c r="A481" s="6" t="s">
        <v>2526</v>
      </c>
      <c r="B481" s="6" t="s">
        <v>2551</v>
      </c>
      <c r="C481" s="6" t="s">
        <v>2552</v>
      </c>
      <c r="D481" s="6" t="s">
        <v>1303</v>
      </c>
      <c r="E481" s="6" t="s">
        <v>1304</v>
      </c>
      <c r="F481" s="6" t="s">
        <v>2553</v>
      </c>
      <c r="G481" s="6" t="s">
        <v>1306</v>
      </c>
    </row>
    <row r="482" spans="1:7" ht="69.95" customHeight="1">
      <c r="A482" s="6" t="s">
        <v>2526</v>
      </c>
      <c r="B482" s="6" t="s">
        <v>2554</v>
      </c>
      <c r="C482" s="6" t="s">
        <v>2555</v>
      </c>
      <c r="D482" s="6" t="s">
        <v>1303</v>
      </c>
      <c r="E482" s="6" t="s">
        <v>1304</v>
      </c>
      <c r="F482" s="6" t="s">
        <v>2556</v>
      </c>
      <c r="G482" s="6" t="s">
        <v>1306</v>
      </c>
    </row>
    <row r="483" spans="1:7" ht="69.95" customHeight="1">
      <c r="A483" s="6" t="s">
        <v>2526</v>
      </c>
      <c r="B483" s="6" t="s">
        <v>2557</v>
      </c>
      <c r="C483" s="6" t="s">
        <v>2558</v>
      </c>
      <c r="D483" s="6" t="s">
        <v>1303</v>
      </c>
      <c r="E483" s="6" t="s">
        <v>1304</v>
      </c>
      <c r="F483" s="6" t="s">
        <v>2559</v>
      </c>
      <c r="G483" s="6" t="s">
        <v>1306</v>
      </c>
    </row>
    <row r="484" spans="1:7" ht="69.95" customHeight="1">
      <c r="A484" s="6" t="s">
        <v>2526</v>
      </c>
      <c r="B484" s="6" t="s">
        <v>2560</v>
      </c>
      <c r="C484" s="6" t="s">
        <v>2561</v>
      </c>
      <c r="D484" s="6" t="s">
        <v>1303</v>
      </c>
      <c r="E484" s="6" t="s">
        <v>1304</v>
      </c>
      <c r="F484" s="6" t="s">
        <v>2562</v>
      </c>
      <c r="G484" s="6" t="s">
        <v>1306</v>
      </c>
    </row>
    <row r="485" spans="1:7" ht="69.95" customHeight="1">
      <c r="A485" s="6" t="s">
        <v>2526</v>
      </c>
      <c r="B485" s="6" t="s">
        <v>2563</v>
      </c>
      <c r="C485" s="6" t="s">
        <v>2564</v>
      </c>
      <c r="D485" s="6" t="s">
        <v>1303</v>
      </c>
      <c r="E485" s="6" t="s">
        <v>1304</v>
      </c>
      <c r="F485" s="6" t="s">
        <v>2565</v>
      </c>
      <c r="G485" s="6" t="s">
        <v>1306</v>
      </c>
    </row>
    <row r="486" spans="1:7" ht="69.95" customHeight="1">
      <c r="A486" s="6" t="s">
        <v>2526</v>
      </c>
      <c r="B486" s="6" t="s">
        <v>2566</v>
      </c>
      <c r="C486" s="6" t="s">
        <v>2567</v>
      </c>
      <c r="D486" s="6" t="s">
        <v>1303</v>
      </c>
      <c r="E486" s="6" t="s">
        <v>1304</v>
      </c>
      <c r="F486" s="6" t="s">
        <v>2568</v>
      </c>
      <c r="G486" s="6" t="s">
        <v>1306</v>
      </c>
    </row>
    <row r="487" spans="1:7" ht="69.95" customHeight="1">
      <c r="A487" s="6" t="s">
        <v>2569</v>
      </c>
      <c r="B487" s="6" t="s">
        <v>2570</v>
      </c>
      <c r="C487" s="6" t="s">
        <v>2571</v>
      </c>
      <c r="D487" s="6" t="s">
        <v>1303</v>
      </c>
      <c r="E487" s="6" t="s">
        <v>1304</v>
      </c>
      <c r="F487" s="6" t="s">
        <v>2572</v>
      </c>
      <c r="G487" s="6" t="s">
        <v>1306</v>
      </c>
    </row>
    <row r="488" spans="1:7" ht="69.95" customHeight="1">
      <c r="A488" s="6" t="s">
        <v>2569</v>
      </c>
      <c r="B488" s="6" t="s">
        <v>2573</v>
      </c>
      <c r="C488" s="6" t="s">
        <v>2574</v>
      </c>
      <c r="D488" s="6" t="s">
        <v>1303</v>
      </c>
      <c r="E488" s="6" t="s">
        <v>1304</v>
      </c>
      <c r="F488" s="6" t="s">
        <v>2575</v>
      </c>
      <c r="G488" s="6" t="s">
        <v>1306</v>
      </c>
    </row>
    <row r="489" spans="1:7" ht="69.95" customHeight="1">
      <c r="A489" s="6" t="s">
        <v>2569</v>
      </c>
      <c r="B489" s="6" t="s">
        <v>2576</v>
      </c>
      <c r="C489" s="6" t="s">
        <v>2577</v>
      </c>
      <c r="D489" s="6" t="s">
        <v>1303</v>
      </c>
      <c r="E489" s="6" t="s">
        <v>1304</v>
      </c>
      <c r="F489" s="6" t="s">
        <v>2578</v>
      </c>
      <c r="G489" s="6" t="s">
        <v>1306</v>
      </c>
    </row>
    <row r="490" spans="1:7" ht="69.95" customHeight="1">
      <c r="A490" s="6" t="s">
        <v>2569</v>
      </c>
      <c r="B490" s="6" t="s">
        <v>2579</v>
      </c>
      <c r="C490" s="6" t="s">
        <v>2580</v>
      </c>
      <c r="D490" s="6" t="s">
        <v>1303</v>
      </c>
      <c r="E490" s="6" t="s">
        <v>1304</v>
      </c>
      <c r="F490" s="6" t="s">
        <v>2581</v>
      </c>
      <c r="G490" s="6" t="s">
        <v>1306</v>
      </c>
    </row>
    <row r="491" spans="1:7" ht="69.95" customHeight="1">
      <c r="A491" s="6" t="s">
        <v>2569</v>
      </c>
      <c r="B491" s="6" t="s">
        <v>2582</v>
      </c>
      <c r="C491" s="6" t="s">
        <v>2583</v>
      </c>
      <c r="D491" s="6" t="s">
        <v>1303</v>
      </c>
      <c r="E491" s="6" t="s">
        <v>1304</v>
      </c>
      <c r="F491" s="6" t="s">
        <v>2584</v>
      </c>
      <c r="G491" s="6" t="s">
        <v>1306</v>
      </c>
    </row>
    <row r="492" spans="1:7" ht="69.95" customHeight="1">
      <c r="A492" s="6" t="s">
        <v>2569</v>
      </c>
      <c r="B492" s="6" t="s">
        <v>2585</v>
      </c>
      <c r="C492" s="6" t="s">
        <v>2586</v>
      </c>
      <c r="D492" s="6" t="s">
        <v>1303</v>
      </c>
      <c r="E492" s="6" t="s">
        <v>1951</v>
      </c>
      <c r="F492" s="6" t="s">
        <v>2587</v>
      </c>
      <c r="G492" s="6" t="s">
        <v>1306</v>
      </c>
    </row>
    <row r="493" spans="1:7" ht="69.95" customHeight="1">
      <c r="A493" s="6" t="s">
        <v>2569</v>
      </c>
      <c r="B493" s="6" t="s">
        <v>2588</v>
      </c>
      <c r="C493" s="6" t="s">
        <v>2589</v>
      </c>
      <c r="D493" s="6" t="s">
        <v>1303</v>
      </c>
      <c r="E493" s="6" t="s">
        <v>1951</v>
      </c>
      <c r="F493" s="6" t="s">
        <v>2590</v>
      </c>
      <c r="G493" s="6" t="s">
        <v>1306</v>
      </c>
    </row>
    <row r="494" spans="1:7" ht="69.95" customHeight="1">
      <c r="A494" s="6" t="s">
        <v>2569</v>
      </c>
      <c r="B494" s="6" t="s">
        <v>2591</v>
      </c>
      <c r="C494" s="6" t="s">
        <v>2592</v>
      </c>
      <c r="D494" s="6" t="s">
        <v>1303</v>
      </c>
      <c r="E494" s="6" t="s">
        <v>1951</v>
      </c>
      <c r="F494" s="6" t="s">
        <v>2593</v>
      </c>
      <c r="G494" s="6" t="s">
        <v>1306</v>
      </c>
    </row>
    <row r="495" spans="1:7" ht="69.95" customHeight="1">
      <c r="A495" s="6" t="s">
        <v>2569</v>
      </c>
      <c r="B495" s="6" t="s">
        <v>2594</v>
      </c>
      <c r="C495" s="6" t="s">
        <v>2595</v>
      </c>
      <c r="D495" s="6" t="s">
        <v>1303</v>
      </c>
      <c r="E495" s="6" t="s">
        <v>1304</v>
      </c>
      <c r="F495" s="6" t="s">
        <v>2596</v>
      </c>
      <c r="G495" s="6" t="s">
        <v>1306</v>
      </c>
    </row>
    <row r="496" spans="1:7" ht="69.95" customHeight="1">
      <c r="A496" s="6" t="s">
        <v>2569</v>
      </c>
      <c r="B496" s="6" t="s">
        <v>2597</v>
      </c>
      <c r="C496" s="6" t="s">
        <v>2598</v>
      </c>
      <c r="D496" s="6" t="s">
        <v>1303</v>
      </c>
      <c r="E496" s="6" t="s">
        <v>1304</v>
      </c>
      <c r="F496" s="6" t="s">
        <v>2599</v>
      </c>
      <c r="G496" s="6" t="s">
        <v>1306</v>
      </c>
    </row>
    <row r="497" spans="1:7" ht="69.95" customHeight="1">
      <c r="A497" s="6" t="s">
        <v>2569</v>
      </c>
      <c r="B497" s="6" t="s">
        <v>2600</v>
      </c>
      <c r="C497" s="6" t="s">
        <v>2601</v>
      </c>
      <c r="D497" s="6" t="s">
        <v>1303</v>
      </c>
      <c r="E497" s="6" t="s">
        <v>1304</v>
      </c>
      <c r="F497" s="6" t="s">
        <v>2602</v>
      </c>
      <c r="G497" s="6" t="s">
        <v>1306</v>
      </c>
    </row>
    <row r="498" spans="1:7" ht="69.95" customHeight="1">
      <c r="A498" s="6" t="s">
        <v>2569</v>
      </c>
      <c r="B498" s="6" t="s">
        <v>2603</v>
      </c>
      <c r="C498" s="6" t="s">
        <v>2604</v>
      </c>
      <c r="D498" s="6" t="s">
        <v>1303</v>
      </c>
      <c r="E498" s="6" t="s">
        <v>1304</v>
      </c>
      <c r="F498" s="6" t="s">
        <v>2605</v>
      </c>
      <c r="G498" s="6" t="s">
        <v>1306</v>
      </c>
    </row>
    <row r="499" spans="1:7" ht="69.95" customHeight="1">
      <c r="A499" s="6" t="s">
        <v>2569</v>
      </c>
      <c r="B499" s="6" t="s">
        <v>2606</v>
      </c>
      <c r="C499" s="6" t="s">
        <v>2607</v>
      </c>
      <c r="D499" s="6" t="s">
        <v>1303</v>
      </c>
      <c r="E499" s="6" t="s">
        <v>1304</v>
      </c>
      <c r="F499" s="6" t="s">
        <v>2608</v>
      </c>
      <c r="G499" s="6" t="s">
        <v>1306</v>
      </c>
    </row>
    <row r="500" spans="1:7" ht="69.95" customHeight="1">
      <c r="A500" s="6" t="s">
        <v>2569</v>
      </c>
      <c r="B500" s="6" t="s">
        <v>2609</v>
      </c>
      <c r="C500" s="6" t="s">
        <v>2610</v>
      </c>
      <c r="D500" s="6" t="s">
        <v>1303</v>
      </c>
      <c r="E500" s="6" t="s">
        <v>1304</v>
      </c>
      <c r="F500" s="6" t="s">
        <v>2611</v>
      </c>
      <c r="G500" s="6" t="s">
        <v>1306</v>
      </c>
    </row>
    <row r="501" spans="1:7" ht="69.95" customHeight="1">
      <c r="A501" s="6" t="s">
        <v>2569</v>
      </c>
      <c r="B501" s="6" t="s">
        <v>2612</v>
      </c>
      <c r="C501" s="6" t="s">
        <v>2613</v>
      </c>
      <c r="D501" s="6" t="s">
        <v>1303</v>
      </c>
      <c r="E501" s="6" t="s">
        <v>1304</v>
      </c>
      <c r="F501" s="6" t="s">
        <v>2614</v>
      </c>
      <c r="G501" s="6" t="s">
        <v>1306</v>
      </c>
    </row>
    <row r="502" spans="1:7" ht="69.95" customHeight="1">
      <c r="A502" s="6" t="s">
        <v>2569</v>
      </c>
      <c r="B502" s="6" t="s">
        <v>2615</v>
      </c>
      <c r="C502" s="6" t="s">
        <v>2616</v>
      </c>
      <c r="D502" s="6" t="s">
        <v>1303</v>
      </c>
      <c r="E502" s="6" t="s">
        <v>1304</v>
      </c>
      <c r="F502" s="6" t="s">
        <v>2617</v>
      </c>
      <c r="G502" s="6" t="s">
        <v>1306</v>
      </c>
    </row>
    <row r="503" spans="1:7" ht="69.95" customHeight="1">
      <c r="A503" s="6" t="s">
        <v>2569</v>
      </c>
      <c r="B503" s="6" t="s">
        <v>2618</v>
      </c>
      <c r="C503" s="6" t="s">
        <v>2619</v>
      </c>
      <c r="D503" s="6" t="s">
        <v>1303</v>
      </c>
      <c r="E503" s="6" t="s">
        <v>1304</v>
      </c>
      <c r="F503" s="6" t="s">
        <v>2620</v>
      </c>
      <c r="G503" s="6" t="s">
        <v>1306</v>
      </c>
    </row>
    <row r="504" spans="1:7" ht="69.95" customHeight="1">
      <c r="A504" s="6" t="s">
        <v>2569</v>
      </c>
      <c r="B504" s="6" t="s">
        <v>2621</v>
      </c>
      <c r="C504" s="6" t="s">
        <v>2622</v>
      </c>
      <c r="D504" s="6" t="s">
        <v>1303</v>
      </c>
      <c r="E504" s="6" t="s">
        <v>1304</v>
      </c>
      <c r="F504" s="6" t="s">
        <v>2623</v>
      </c>
      <c r="G504" s="6" t="s">
        <v>1306</v>
      </c>
    </row>
    <row r="505" spans="1:7" ht="69.95" customHeight="1">
      <c r="A505" s="6" t="s">
        <v>2569</v>
      </c>
      <c r="B505" s="6" t="s">
        <v>2624</v>
      </c>
      <c r="C505" s="6" t="s">
        <v>2625</v>
      </c>
      <c r="D505" s="6" t="s">
        <v>1303</v>
      </c>
      <c r="E505" s="6" t="s">
        <v>1304</v>
      </c>
      <c r="F505" s="6" t="s">
        <v>2626</v>
      </c>
      <c r="G505" s="6" t="s">
        <v>1306</v>
      </c>
    </row>
    <row r="506" spans="1:7" ht="69.95" customHeight="1">
      <c r="A506" s="6" t="s">
        <v>2569</v>
      </c>
      <c r="B506" s="6" t="s">
        <v>2627</v>
      </c>
      <c r="C506" s="6" t="s">
        <v>2628</v>
      </c>
      <c r="D506" s="6" t="s">
        <v>1303</v>
      </c>
      <c r="E506" s="6" t="s">
        <v>1304</v>
      </c>
      <c r="F506" s="6" t="s">
        <v>2629</v>
      </c>
      <c r="G506" s="6" t="s">
        <v>1306</v>
      </c>
    </row>
    <row r="507" spans="1:7" ht="69.95" customHeight="1">
      <c r="A507" s="6" t="s">
        <v>2569</v>
      </c>
      <c r="B507" s="6" t="s">
        <v>2630</v>
      </c>
      <c r="C507" s="6" t="s">
        <v>2631</v>
      </c>
      <c r="D507" s="6" t="s">
        <v>1303</v>
      </c>
      <c r="E507" s="6" t="s">
        <v>1304</v>
      </c>
      <c r="F507" s="6" t="s">
        <v>2632</v>
      </c>
      <c r="G507" s="6" t="s">
        <v>1306</v>
      </c>
    </row>
    <row r="508" spans="1:7" ht="69.95" customHeight="1">
      <c r="A508" s="6" t="s">
        <v>2569</v>
      </c>
      <c r="B508" s="6" t="s">
        <v>2633</v>
      </c>
      <c r="C508" s="6" t="s">
        <v>2634</v>
      </c>
      <c r="D508" s="6" t="s">
        <v>1303</v>
      </c>
      <c r="E508" s="6" t="s">
        <v>1304</v>
      </c>
      <c r="F508" s="6" t="s">
        <v>2635</v>
      </c>
      <c r="G508" s="6" t="s">
        <v>1306</v>
      </c>
    </row>
    <row r="509" spans="1:7" ht="69.95" customHeight="1">
      <c r="A509" s="6" t="s">
        <v>2569</v>
      </c>
      <c r="B509" s="6" t="s">
        <v>2636</v>
      </c>
      <c r="C509" s="6" t="s">
        <v>2637</v>
      </c>
      <c r="D509" s="6" t="s">
        <v>1303</v>
      </c>
      <c r="E509" s="6" t="s">
        <v>1304</v>
      </c>
      <c r="F509" s="6" t="s">
        <v>2638</v>
      </c>
      <c r="G509" s="6" t="s">
        <v>1306</v>
      </c>
    </row>
    <row r="510" spans="1:7" ht="69.95" customHeight="1">
      <c r="A510" s="6" t="s">
        <v>2569</v>
      </c>
      <c r="B510" s="6" t="s">
        <v>2639</v>
      </c>
      <c r="C510" s="6" t="s">
        <v>2640</v>
      </c>
      <c r="D510" s="6" t="s">
        <v>1303</v>
      </c>
      <c r="E510" s="6" t="s">
        <v>1304</v>
      </c>
      <c r="F510" s="6" t="s">
        <v>2641</v>
      </c>
      <c r="G510" s="6" t="s">
        <v>1306</v>
      </c>
    </row>
    <row r="511" spans="1:7" ht="69.95" customHeight="1">
      <c r="A511" s="6" t="s">
        <v>2569</v>
      </c>
      <c r="B511" s="6" t="s">
        <v>2642</v>
      </c>
      <c r="C511" s="6" t="s">
        <v>2643</v>
      </c>
      <c r="D511" s="6" t="s">
        <v>1303</v>
      </c>
      <c r="E511" s="6" t="s">
        <v>1304</v>
      </c>
      <c r="F511" s="6" t="s">
        <v>2644</v>
      </c>
      <c r="G511" s="6" t="s">
        <v>1306</v>
      </c>
    </row>
    <row r="512" spans="1:7" ht="69.95" customHeight="1">
      <c r="A512" s="6" t="s">
        <v>2569</v>
      </c>
      <c r="B512" s="6" t="s">
        <v>2645</v>
      </c>
      <c r="C512" s="6" t="s">
        <v>2646</v>
      </c>
      <c r="D512" s="6" t="s">
        <v>1303</v>
      </c>
      <c r="E512" s="6" t="s">
        <v>1304</v>
      </c>
      <c r="F512" s="6" t="s">
        <v>2647</v>
      </c>
      <c r="G512" s="6" t="s">
        <v>1306</v>
      </c>
    </row>
    <row r="513" spans="1:7" ht="69.95" customHeight="1">
      <c r="A513" s="6" t="s">
        <v>2569</v>
      </c>
      <c r="B513" s="6" t="s">
        <v>2648</v>
      </c>
      <c r="C513" s="6" t="s">
        <v>2649</v>
      </c>
      <c r="D513" s="6" t="s">
        <v>1303</v>
      </c>
      <c r="E513" s="6" t="s">
        <v>1304</v>
      </c>
      <c r="F513" s="6" t="s">
        <v>2650</v>
      </c>
      <c r="G513" s="6" t="s">
        <v>1306</v>
      </c>
    </row>
    <row r="514" spans="1:7" ht="69.95" customHeight="1">
      <c r="A514" s="6" t="s">
        <v>2569</v>
      </c>
      <c r="B514" s="6" t="s">
        <v>2651</v>
      </c>
      <c r="C514" s="6" t="s">
        <v>2652</v>
      </c>
      <c r="D514" s="6" t="s">
        <v>1303</v>
      </c>
      <c r="E514" s="6" t="s">
        <v>1304</v>
      </c>
      <c r="F514" s="6" t="s">
        <v>2653</v>
      </c>
      <c r="G514" s="6" t="s">
        <v>1306</v>
      </c>
    </row>
    <row r="515" spans="1:7" ht="69.95" customHeight="1">
      <c r="A515" s="6" t="s">
        <v>2569</v>
      </c>
      <c r="B515" s="6" t="s">
        <v>2654</v>
      </c>
      <c r="C515" s="6" t="s">
        <v>2655</v>
      </c>
      <c r="D515" s="6" t="s">
        <v>1303</v>
      </c>
      <c r="E515" s="6" t="s">
        <v>1304</v>
      </c>
      <c r="F515" s="6" t="s">
        <v>2656</v>
      </c>
      <c r="G515" s="6" t="s">
        <v>1306</v>
      </c>
    </row>
    <row r="516" spans="1:7" ht="69.95" customHeight="1">
      <c r="A516" s="6" t="s">
        <v>2569</v>
      </c>
      <c r="B516" s="6" t="s">
        <v>2657</v>
      </c>
      <c r="C516" s="6" t="s">
        <v>2658</v>
      </c>
      <c r="D516" s="6" t="s">
        <v>1303</v>
      </c>
      <c r="E516" s="6" t="s">
        <v>1304</v>
      </c>
      <c r="F516" s="6" t="s">
        <v>2659</v>
      </c>
      <c r="G516" s="6" t="s">
        <v>1306</v>
      </c>
    </row>
    <row r="517" spans="1:7" ht="69.95" customHeight="1">
      <c r="A517" s="6" t="s">
        <v>2569</v>
      </c>
      <c r="B517" s="6" t="s">
        <v>2660</v>
      </c>
      <c r="C517" s="6" t="s">
        <v>2661</v>
      </c>
      <c r="D517" s="6" t="s">
        <v>1303</v>
      </c>
      <c r="E517" s="6" t="s">
        <v>1304</v>
      </c>
      <c r="F517" s="6" t="s">
        <v>2662</v>
      </c>
      <c r="G517" s="6" t="s">
        <v>1306</v>
      </c>
    </row>
    <row r="518" spans="1:7" ht="69.95" customHeight="1">
      <c r="A518" s="6" t="s">
        <v>2569</v>
      </c>
      <c r="B518" s="6" t="s">
        <v>2663</v>
      </c>
      <c r="C518" s="6" t="s">
        <v>2664</v>
      </c>
      <c r="D518" s="6" t="s">
        <v>1303</v>
      </c>
      <c r="E518" s="6" t="s">
        <v>1304</v>
      </c>
      <c r="F518" s="6" t="s">
        <v>2665</v>
      </c>
      <c r="G518" s="6" t="s">
        <v>1306</v>
      </c>
    </row>
    <row r="519" spans="1:7" ht="69.95" customHeight="1">
      <c r="A519" s="6" t="s">
        <v>2569</v>
      </c>
      <c r="B519" s="6" t="s">
        <v>2666</v>
      </c>
      <c r="C519" s="6" t="s">
        <v>2667</v>
      </c>
      <c r="D519" s="6" t="s">
        <v>1303</v>
      </c>
      <c r="E519" s="6" t="s">
        <v>1304</v>
      </c>
      <c r="F519" s="6" t="s">
        <v>2668</v>
      </c>
      <c r="G519" s="6" t="s">
        <v>1306</v>
      </c>
    </row>
    <row r="520" spans="1:7" ht="69.95" customHeight="1">
      <c r="A520" s="6" t="s">
        <v>2569</v>
      </c>
      <c r="B520" s="6" t="s">
        <v>2669</v>
      </c>
      <c r="C520" s="6" t="s">
        <v>2670</v>
      </c>
      <c r="D520" s="6" t="s">
        <v>1303</v>
      </c>
      <c r="E520" s="6" t="s">
        <v>1304</v>
      </c>
      <c r="F520" s="6" t="s">
        <v>2671</v>
      </c>
      <c r="G520" s="6" t="s">
        <v>1306</v>
      </c>
    </row>
    <row r="521" spans="1:7" ht="69.95" customHeight="1">
      <c r="A521" s="6" t="s">
        <v>2672</v>
      </c>
      <c r="B521" s="6" t="s">
        <v>2673</v>
      </c>
      <c r="C521" s="6" t="s">
        <v>2674</v>
      </c>
      <c r="D521" s="6" t="s">
        <v>1303</v>
      </c>
      <c r="E521" s="6" t="s">
        <v>1304</v>
      </c>
      <c r="F521" s="6" t="s">
        <v>2675</v>
      </c>
      <c r="G521" s="6" t="s">
        <v>1306</v>
      </c>
    </row>
    <row r="522" spans="1:7" ht="69.95" customHeight="1">
      <c r="A522" s="6" t="s">
        <v>2672</v>
      </c>
      <c r="B522" s="6" t="s">
        <v>2676</v>
      </c>
      <c r="C522" s="6" t="s">
        <v>2677</v>
      </c>
      <c r="D522" s="6" t="s">
        <v>1303</v>
      </c>
      <c r="E522" s="6" t="s">
        <v>1304</v>
      </c>
      <c r="F522" s="6" t="s">
        <v>2678</v>
      </c>
      <c r="G522" s="6" t="s">
        <v>1306</v>
      </c>
    </row>
    <row r="523" spans="1:7" ht="69.95" customHeight="1">
      <c r="A523" s="6" t="s">
        <v>2672</v>
      </c>
      <c r="B523" s="6" t="s">
        <v>2679</v>
      </c>
      <c r="C523" s="6" t="s">
        <v>2680</v>
      </c>
      <c r="D523" s="6" t="s">
        <v>1303</v>
      </c>
      <c r="E523" s="6" t="s">
        <v>1304</v>
      </c>
      <c r="F523" s="6" t="s">
        <v>2681</v>
      </c>
      <c r="G523" s="6" t="s">
        <v>1306</v>
      </c>
    </row>
    <row r="524" spans="1:7" ht="69.95" customHeight="1">
      <c r="A524" s="6" t="s">
        <v>2672</v>
      </c>
      <c r="B524" s="6" t="s">
        <v>2682</v>
      </c>
      <c r="C524" s="6" t="s">
        <v>2683</v>
      </c>
      <c r="D524" s="6" t="s">
        <v>1303</v>
      </c>
      <c r="E524" s="6" t="s">
        <v>1304</v>
      </c>
      <c r="F524" s="6" t="s">
        <v>2684</v>
      </c>
      <c r="G524" s="6" t="s">
        <v>1306</v>
      </c>
    </row>
    <row r="525" spans="1:7" ht="69.95" customHeight="1">
      <c r="A525" s="6" t="s">
        <v>2672</v>
      </c>
      <c r="B525" s="6" t="s">
        <v>2685</v>
      </c>
      <c r="C525" s="6" t="s">
        <v>2686</v>
      </c>
      <c r="D525" s="6" t="s">
        <v>1303</v>
      </c>
      <c r="E525" s="6" t="s">
        <v>1304</v>
      </c>
      <c r="F525" s="6" t="s">
        <v>2687</v>
      </c>
      <c r="G525" s="6" t="s">
        <v>1306</v>
      </c>
    </row>
    <row r="526" spans="1:7" ht="69.95" customHeight="1">
      <c r="A526" s="6" t="s">
        <v>2672</v>
      </c>
      <c r="B526" s="6" t="s">
        <v>2688</v>
      </c>
      <c r="C526" s="6" t="s">
        <v>2689</v>
      </c>
      <c r="D526" s="6" t="s">
        <v>1303</v>
      </c>
      <c r="E526" s="6" t="s">
        <v>1304</v>
      </c>
      <c r="F526" s="6" t="s">
        <v>2690</v>
      </c>
      <c r="G526" s="6" t="s">
        <v>1306</v>
      </c>
    </row>
    <row r="527" spans="1:7" ht="69.95" customHeight="1">
      <c r="A527" s="6" t="s">
        <v>2672</v>
      </c>
      <c r="B527" s="6" t="s">
        <v>2691</v>
      </c>
      <c r="C527" s="6" t="s">
        <v>2692</v>
      </c>
      <c r="D527" s="6" t="s">
        <v>1303</v>
      </c>
      <c r="E527" s="6" t="s">
        <v>1304</v>
      </c>
      <c r="F527" s="6" t="s">
        <v>2693</v>
      </c>
      <c r="G527" s="6" t="s">
        <v>1306</v>
      </c>
    </row>
    <row r="528" spans="1:7" ht="69.95" customHeight="1">
      <c r="A528" s="6" t="s">
        <v>2672</v>
      </c>
      <c r="B528" s="6" t="s">
        <v>2694</v>
      </c>
      <c r="C528" s="6" t="s">
        <v>2695</v>
      </c>
      <c r="D528" s="6" t="s">
        <v>1303</v>
      </c>
      <c r="E528" s="6" t="s">
        <v>1304</v>
      </c>
      <c r="F528" s="6" t="s">
        <v>2696</v>
      </c>
      <c r="G528" s="6" t="s">
        <v>1306</v>
      </c>
    </row>
    <row r="529" spans="1:7" ht="69.95" customHeight="1">
      <c r="A529" s="6" t="s">
        <v>2672</v>
      </c>
      <c r="B529" s="6" t="s">
        <v>2697</v>
      </c>
      <c r="C529" s="6" t="s">
        <v>2698</v>
      </c>
      <c r="D529" s="6" t="s">
        <v>1303</v>
      </c>
      <c r="E529" s="6" t="s">
        <v>1304</v>
      </c>
      <c r="F529" s="6" t="s">
        <v>2699</v>
      </c>
      <c r="G529" s="6" t="s">
        <v>1306</v>
      </c>
    </row>
    <row r="530" spans="1:7" ht="69.95" customHeight="1">
      <c r="A530" s="6" t="s">
        <v>2672</v>
      </c>
      <c r="B530" s="6" t="s">
        <v>2700</v>
      </c>
      <c r="C530" s="6" t="s">
        <v>2701</v>
      </c>
      <c r="D530" s="6" t="s">
        <v>1303</v>
      </c>
      <c r="E530" s="6" t="s">
        <v>1304</v>
      </c>
      <c r="F530" s="6" t="s">
        <v>2702</v>
      </c>
      <c r="G530" s="6" t="s">
        <v>1306</v>
      </c>
    </row>
    <row r="531" spans="1:7" ht="69.95" customHeight="1">
      <c r="A531" s="6" t="s">
        <v>2672</v>
      </c>
      <c r="B531" s="6" t="s">
        <v>2703</v>
      </c>
      <c r="C531" s="6" t="s">
        <v>2704</v>
      </c>
      <c r="D531" s="6" t="s">
        <v>1303</v>
      </c>
      <c r="E531" s="6" t="s">
        <v>1304</v>
      </c>
      <c r="F531" s="6" t="s">
        <v>2705</v>
      </c>
      <c r="G531" s="6" t="s">
        <v>1306</v>
      </c>
    </row>
    <row r="532" spans="1:7" ht="69.95" customHeight="1">
      <c r="A532" s="6" t="s">
        <v>2672</v>
      </c>
      <c r="B532" s="6" t="s">
        <v>2706</v>
      </c>
      <c r="C532" s="6" t="s">
        <v>2707</v>
      </c>
      <c r="D532" s="6" t="s">
        <v>1303</v>
      </c>
      <c r="E532" s="6" t="s">
        <v>1304</v>
      </c>
      <c r="F532" s="6" t="s">
        <v>2708</v>
      </c>
      <c r="G532" s="6" t="s">
        <v>1306</v>
      </c>
    </row>
    <row r="533" spans="1:7" ht="69.95" customHeight="1">
      <c r="A533" s="6" t="s">
        <v>2709</v>
      </c>
      <c r="B533" s="6" t="s">
        <v>2710</v>
      </c>
      <c r="C533" s="6" t="s">
        <v>2711</v>
      </c>
      <c r="D533" s="6" t="s">
        <v>1303</v>
      </c>
      <c r="E533" s="6" t="s">
        <v>1304</v>
      </c>
      <c r="F533" s="6" t="s">
        <v>2712</v>
      </c>
      <c r="G533" s="6" t="s">
        <v>1306</v>
      </c>
    </row>
    <row r="534" spans="1:7" ht="69.95" customHeight="1">
      <c r="A534" s="6" t="s">
        <v>2709</v>
      </c>
      <c r="B534" s="6" t="s">
        <v>2713</v>
      </c>
      <c r="C534" s="6" t="s">
        <v>2714</v>
      </c>
      <c r="D534" s="6" t="s">
        <v>1303</v>
      </c>
      <c r="E534" s="6" t="s">
        <v>1304</v>
      </c>
      <c r="F534" s="6" t="s">
        <v>2715</v>
      </c>
      <c r="G534" s="6" t="s">
        <v>1306</v>
      </c>
    </row>
    <row r="535" spans="1:7" ht="69.95" customHeight="1">
      <c r="A535" s="6" t="s">
        <v>2709</v>
      </c>
      <c r="B535" s="6" t="s">
        <v>2716</v>
      </c>
      <c r="C535" s="6" t="s">
        <v>2717</v>
      </c>
      <c r="D535" s="6" t="s">
        <v>1303</v>
      </c>
      <c r="E535" s="6" t="s">
        <v>1304</v>
      </c>
      <c r="F535" s="6" t="s">
        <v>2718</v>
      </c>
      <c r="G535" s="6" t="s">
        <v>1306</v>
      </c>
    </row>
    <row r="536" spans="1:7" ht="69.95" customHeight="1">
      <c r="A536" s="6" t="s">
        <v>2709</v>
      </c>
      <c r="B536" s="6" t="s">
        <v>2719</v>
      </c>
      <c r="C536" s="6" t="s">
        <v>2720</v>
      </c>
      <c r="D536" s="6" t="s">
        <v>1303</v>
      </c>
      <c r="E536" s="6" t="s">
        <v>1304</v>
      </c>
      <c r="F536" s="6" t="s">
        <v>2721</v>
      </c>
      <c r="G536" s="6" t="s">
        <v>1306</v>
      </c>
    </row>
    <row r="537" spans="1:7" ht="69.95" customHeight="1">
      <c r="A537" s="6" t="s">
        <v>2709</v>
      </c>
      <c r="B537" s="6" t="s">
        <v>2722</v>
      </c>
      <c r="C537" s="6" t="s">
        <v>2723</v>
      </c>
      <c r="D537" s="6" t="s">
        <v>1303</v>
      </c>
      <c r="E537" s="6" t="s">
        <v>1304</v>
      </c>
      <c r="F537" s="6" t="s">
        <v>2724</v>
      </c>
      <c r="G537" s="6" t="s">
        <v>1306</v>
      </c>
    </row>
    <row r="538" spans="1:7" ht="69.95" customHeight="1">
      <c r="A538" s="6" t="s">
        <v>2709</v>
      </c>
      <c r="B538" s="6" t="s">
        <v>2725</v>
      </c>
      <c r="C538" s="6" t="s">
        <v>2726</v>
      </c>
      <c r="D538" s="6" t="s">
        <v>1303</v>
      </c>
      <c r="E538" s="6" t="s">
        <v>1304</v>
      </c>
      <c r="F538" s="6" t="s">
        <v>2727</v>
      </c>
      <c r="G538" s="6" t="s">
        <v>1306</v>
      </c>
    </row>
    <row r="539" spans="1:7" ht="69.95" customHeight="1">
      <c r="A539" s="6" t="s">
        <v>2709</v>
      </c>
      <c r="B539" s="6" t="s">
        <v>2728</v>
      </c>
      <c r="C539" s="6" t="s">
        <v>2729</v>
      </c>
      <c r="D539" s="6" t="s">
        <v>1303</v>
      </c>
      <c r="E539" s="6" t="s">
        <v>1304</v>
      </c>
      <c r="F539" s="6" t="s">
        <v>2730</v>
      </c>
      <c r="G539" s="6" t="s">
        <v>1306</v>
      </c>
    </row>
    <row r="540" spans="1:7" ht="69.95" customHeight="1">
      <c r="A540" s="6" t="s">
        <v>2709</v>
      </c>
      <c r="B540" s="6" t="s">
        <v>2731</v>
      </c>
      <c r="C540" s="6" t="s">
        <v>2732</v>
      </c>
      <c r="D540" s="6" t="s">
        <v>1303</v>
      </c>
      <c r="E540" s="6" t="s">
        <v>1304</v>
      </c>
      <c r="F540" s="6" t="s">
        <v>2733</v>
      </c>
      <c r="G540" s="6" t="s">
        <v>1306</v>
      </c>
    </row>
    <row r="541" spans="1:7" ht="69.95" customHeight="1">
      <c r="A541" s="6" t="s">
        <v>2709</v>
      </c>
      <c r="B541" s="6" t="s">
        <v>2734</v>
      </c>
      <c r="C541" s="6" t="s">
        <v>2735</v>
      </c>
      <c r="D541" s="6" t="s">
        <v>1303</v>
      </c>
      <c r="E541" s="6" t="s">
        <v>1304</v>
      </c>
      <c r="F541" s="6" t="s">
        <v>2736</v>
      </c>
      <c r="G541" s="6" t="s">
        <v>1306</v>
      </c>
    </row>
    <row r="542" spans="1:7" ht="69.95" customHeight="1">
      <c r="A542" s="6" t="s">
        <v>2709</v>
      </c>
      <c r="B542" s="6" t="s">
        <v>2737</v>
      </c>
      <c r="C542" s="6" t="s">
        <v>2738</v>
      </c>
      <c r="D542" s="6" t="s">
        <v>1303</v>
      </c>
      <c r="E542" s="6" t="s">
        <v>1304</v>
      </c>
      <c r="F542" s="6" t="s">
        <v>2739</v>
      </c>
      <c r="G542" s="6" t="s">
        <v>1306</v>
      </c>
    </row>
    <row r="543" spans="1:7" ht="69.95" customHeight="1">
      <c r="A543" s="6" t="s">
        <v>2709</v>
      </c>
      <c r="B543" s="6" t="s">
        <v>2740</v>
      </c>
      <c r="C543" s="6" t="s">
        <v>2741</v>
      </c>
      <c r="D543" s="6" t="s">
        <v>1303</v>
      </c>
      <c r="E543" s="6" t="s">
        <v>1304</v>
      </c>
      <c r="F543" s="6" t="s">
        <v>2742</v>
      </c>
      <c r="G543" s="6" t="s">
        <v>1306</v>
      </c>
    </row>
    <row r="544" spans="1:7" ht="69.95" customHeight="1">
      <c r="A544" s="6" t="s">
        <v>2709</v>
      </c>
      <c r="B544" s="6" t="s">
        <v>2743</v>
      </c>
      <c r="C544" s="6" t="s">
        <v>2744</v>
      </c>
      <c r="D544" s="6" t="s">
        <v>1303</v>
      </c>
      <c r="E544" s="6" t="s">
        <v>1304</v>
      </c>
      <c r="F544" s="6" t="s">
        <v>2745</v>
      </c>
      <c r="G544" s="6" t="s">
        <v>1306</v>
      </c>
    </row>
    <row r="545" spans="1:7" ht="69.95" customHeight="1">
      <c r="A545" s="6" t="s">
        <v>2746</v>
      </c>
      <c r="B545" s="6" t="s">
        <v>2747</v>
      </c>
      <c r="C545" s="6" t="s">
        <v>2748</v>
      </c>
      <c r="D545" s="6" t="s">
        <v>1303</v>
      </c>
      <c r="E545" s="6" t="s">
        <v>1304</v>
      </c>
      <c r="F545" s="6" t="s">
        <v>2749</v>
      </c>
      <c r="G545" s="6" t="s">
        <v>1306</v>
      </c>
    </row>
    <row r="546" spans="1:7" ht="69.95" customHeight="1">
      <c r="A546" s="6" t="s">
        <v>2746</v>
      </c>
      <c r="B546" s="6" t="s">
        <v>2750</v>
      </c>
      <c r="C546" s="6" t="s">
        <v>2751</v>
      </c>
      <c r="D546" s="6" t="s">
        <v>1303</v>
      </c>
      <c r="E546" s="6" t="s">
        <v>1304</v>
      </c>
      <c r="F546" s="6" t="s">
        <v>2752</v>
      </c>
      <c r="G546" s="6" t="s">
        <v>1306</v>
      </c>
    </row>
    <row r="547" spans="1:7" ht="69.95" customHeight="1">
      <c r="A547" s="6" t="s">
        <v>2746</v>
      </c>
      <c r="B547" s="6" t="s">
        <v>2753</v>
      </c>
      <c r="C547" s="6" t="s">
        <v>2754</v>
      </c>
      <c r="D547" s="6" t="s">
        <v>1303</v>
      </c>
      <c r="E547" s="6" t="s">
        <v>1304</v>
      </c>
      <c r="F547" s="6" t="s">
        <v>2755</v>
      </c>
      <c r="G547" s="6" t="s">
        <v>1306</v>
      </c>
    </row>
    <row r="548" spans="1:7" ht="69.95" customHeight="1">
      <c r="A548" s="6" t="s">
        <v>2746</v>
      </c>
      <c r="B548" s="6" t="s">
        <v>2756</v>
      </c>
      <c r="C548" s="6" t="s">
        <v>2757</v>
      </c>
      <c r="D548" s="6" t="s">
        <v>1303</v>
      </c>
      <c r="E548" s="6" t="s">
        <v>1304</v>
      </c>
      <c r="F548" s="6" t="s">
        <v>2758</v>
      </c>
      <c r="G548" s="6" t="s">
        <v>1306</v>
      </c>
    </row>
    <row r="549" spans="1:7" ht="69.95" customHeight="1">
      <c r="A549" s="6" t="s">
        <v>2746</v>
      </c>
      <c r="B549" s="6" t="s">
        <v>2759</v>
      </c>
      <c r="C549" s="6" t="s">
        <v>2760</v>
      </c>
      <c r="D549" s="6" t="s">
        <v>1303</v>
      </c>
      <c r="E549" s="6" t="s">
        <v>1304</v>
      </c>
      <c r="F549" s="6" t="s">
        <v>2761</v>
      </c>
      <c r="G549" s="6" t="s">
        <v>1306</v>
      </c>
    </row>
    <row r="550" spans="1:7" ht="69.95" customHeight="1">
      <c r="A550" s="6" t="s">
        <v>2746</v>
      </c>
      <c r="B550" s="6" t="s">
        <v>2762</v>
      </c>
      <c r="C550" s="6" t="s">
        <v>2763</v>
      </c>
      <c r="D550" s="6" t="s">
        <v>1303</v>
      </c>
      <c r="E550" s="6" t="s">
        <v>1304</v>
      </c>
      <c r="F550" s="6" t="s">
        <v>2764</v>
      </c>
      <c r="G550" s="6" t="s">
        <v>1306</v>
      </c>
    </row>
    <row r="551" spans="1:7" ht="69.95" customHeight="1">
      <c r="A551" s="6" t="s">
        <v>2746</v>
      </c>
      <c r="B551" s="6" t="s">
        <v>2765</v>
      </c>
      <c r="C551" s="6" t="s">
        <v>2766</v>
      </c>
      <c r="D551" s="6" t="s">
        <v>1303</v>
      </c>
      <c r="E551" s="6" t="s">
        <v>1304</v>
      </c>
      <c r="F551" s="6" t="s">
        <v>2767</v>
      </c>
      <c r="G551" s="6" t="s">
        <v>1306</v>
      </c>
    </row>
    <row r="552" spans="1:7" ht="69.95" customHeight="1">
      <c r="A552" s="6" t="s">
        <v>2746</v>
      </c>
      <c r="B552" s="6" t="s">
        <v>2768</v>
      </c>
      <c r="C552" s="6" t="s">
        <v>2769</v>
      </c>
      <c r="D552" s="6" t="s">
        <v>1303</v>
      </c>
      <c r="E552" s="6" t="s">
        <v>1304</v>
      </c>
      <c r="F552" s="6" t="s">
        <v>2770</v>
      </c>
      <c r="G552" s="6" t="s">
        <v>1306</v>
      </c>
    </row>
    <row r="553" spans="1:7" ht="69.95" customHeight="1">
      <c r="A553" s="6" t="s">
        <v>2746</v>
      </c>
      <c r="B553" s="6" t="s">
        <v>2771</v>
      </c>
      <c r="C553" s="6" t="s">
        <v>2772</v>
      </c>
      <c r="D553" s="6" t="s">
        <v>1303</v>
      </c>
      <c r="E553" s="6" t="s">
        <v>1304</v>
      </c>
      <c r="F553" s="6" t="s">
        <v>2773</v>
      </c>
      <c r="G553" s="6" t="s">
        <v>1306</v>
      </c>
    </row>
    <row r="554" spans="1:7" ht="69.95" customHeight="1">
      <c r="A554" s="6" t="s">
        <v>2746</v>
      </c>
      <c r="B554" s="6" t="s">
        <v>2774</v>
      </c>
      <c r="C554" s="6" t="s">
        <v>2775</v>
      </c>
      <c r="D554" s="6" t="s">
        <v>1303</v>
      </c>
      <c r="E554" s="6" t="s">
        <v>1304</v>
      </c>
      <c r="F554" s="6" t="s">
        <v>2776</v>
      </c>
      <c r="G554" s="6" t="s">
        <v>1306</v>
      </c>
    </row>
    <row r="555" spans="1:7" ht="69.95" customHeight="1">
      <c r="A555" s="6" t="s">
        <v>2746</v>
      </c>
      <c r="B555" s="6" t="s">
        <v>2777</v>
      </c>
      <c r="C555" s="6" t="s">
        <v>2778</v>
      </c>
      <c r="D555" s="6" t="s">
        <v>1303</v>
      </c>
      <c r="E555" s="6" t="s">
        <v>1304</v>
      </c>
      <c r="F555" s="6" t="s">
        <v>2779</v>
      </c>
      <c r="G555" s="6" t="s">
        <v>1306</v>
      </c>
    </row>
    <row r="556" spans="1:7" ht="69.95" customHeight="1">
      <c r="A556" s="6" t="s">
        <v>2746</v>
      </c>
      <c r="B556" s="6" t="s">
        <v>2780</v>
      </c>
      <c r="C556" s="6" t="s">
        <v>2781</v>
      </c>
      <c r="D556" s="6" t="s">
        <v>1303</v>
      </c>
      <c r="E556" s="6" t="s">
        <v>1304</v>
      </c>
      <c r="F556" s="6" t="s">
        <v>2782</v>
      </c>
      <c r="G556" s="6" t="s">
        <v>1306</v>
      </c>
    </row>
    <row r="557" spans="1:7" ht="69.95" customHeight="1">
      <c r="A557" s="6" t="s">
        <v>2746</v>
      </c>
      <c r="B557" s="6" t="s">
        <v>2783</v>
      </c>
      <c r="C557" s="6" t="s">
        <v>2784</v>
      </c>
      <c r="D557" s="6" t="s">
        <v>1303</v>
      </c>
      <c r="E557" s="6" t="s">
        <v>1304</v>
      </c>
      <c r="F557" s="6" t="s">
        <v>2785</v>
      </c>
      <c r="G557" s="6" t="s">
        <v>1306</v>
      </c>
    </row>
    <row r="558" spans="1:7" ht="69.95" customHeight="1">
      <c r="A558" s="6" t="s">
        <v>2786</v>
      </c>
      <c r="B558" s="6" t="s">
        <v>2787</v>
      </c>
      <c r="C558" s="6" t="s">
        <v>2788</v>
      </c>
      <c r="D558" s="6" t="s">
        <v>1303</v>
      </c>
      <c r="E558" s="6" t="s">
        <v>1304</v>
      </c>
      <c r="F558" s="6" t="s">
        <v>2789</v>
      </c>
      <c r="G558" s="6" t="s">
        <v>1306</v>
      </c>
    </row>
    <row r="559" spans="1:7" ht="69.95" customHeight="1">
      <c r="A559" s="6" t="s">
        <v>2786</v>
      </c>
      <c r="B559" s="6" t="s">
        <v>2790</v>
      </c>
      <c r="C559" s="6" t="s">
        <v>2791</v>
      </c>
      <c r="D559" s="6" t="s">
        <v>1303</v>
      </c>
      <c r="E559" s="6" t="s">
        <v>1304</v>
      </c>
      <c r="F559" s="6" t="s">
        <v>2792</v>
      </c>
      <c r="G559" s="6" t="s">
        <v>1306</v>
      </c>
    </row>
    <row r="560" spans="1:7" ht="69.95" customHeight="1">
      <c r="A560" s="6" t="s">
        <v>2786</v>
      </c>
      <c r="B560" s="6" t="s">
        <v>2793</v>
      </c>
      <c r="C560" s="6" t="s">
        <v>2794</v>
      </c>
      <c r="D560" s="6" t="s">
        <v>1303</v>
      </c>
      <c r="E560" s="6" t="s">
        <v>1304</v>
      </c>
      <c r="F560" s="6" t="s">
        <v>2795</v>
      </c>
      <c r="G560" s="6" t="s">
        <v>1306</v>
      </c>
    </row>
    <row r="561" spans="1:7" ht="69.95" customHeight="1">
      <c r="A561" s="6" t="s">
        <v>2786</v>
      </c>
      <c r="B561" s="6" t="s">
        <v>2796</v>
      </c>
      <c r="C561" s="6" t="s">
        <v>2797</v>
      </c>
      <c r="D561" s="6" t="s">
        <v>1303</v>
      </c>
      <c r="E561" s="6" t="s">
        <v>1304</v>
      </c>
      <c r="F561" s="6" t="s">
        <v>2798</v>
      </c>
      <c r="G561" s="6" t="s">
        <v>1306</v>
      </c>
    </row>
    <row r="562" spans="1:7" ht="69.95" customHeight="1">
      <c r="A562" s="6" t="s">
        <v>2786</v>
      </c>
      <c r="B562" s="6" t="s">
        <v>2799</v>
      </c>
      <c r="C562" s="6" t="s">
        <v>2800</v>
      </c>
      <c r="D562" s="6" t="s">
        <v>1303</v>
      </c>
      <c r="E562" s="6" t="s">
        <v>1304</v>
      </c>
      <c r="F562" s="6" t="s">
        <v>2801</v>
      </c>
      <c r="G562" s="6" t="s">
        <v>1306</v>
      </c>
    </row>
    <row r="563" spans="1:7" ht="69.95" customHeight="1">
      <c r="A563" s="6" t="s">
        <v>2786</v>
      </c>
      <c r="B563" s="6" t="s">
        <v>2802</v>
      </c>
      <c r="C563" s="6" t="s">
        <v>2803</v>
      </c>
      <c r="D563" s="6" t="s">
        <v>1303</v>
      </c>
      <c r="E563" s="6" t="s">
        <v>1304</v>
      </c>
      <c r="F563" s="6" t="s">
        <v>2804</v>
      </c>
      <c r="G563" s="6" t="s">
        <v>1306</v>
      </c>
    </row>
    <row r="564" spans="1:7" ht="69.95" customHeight="1">
      <c r="A564" s="6" t="s">
        <v>2786</v>
      </c>
      <c r="B564" s="6" t="s">
        <v>2805</v>
      </c>
      <c r="C564" s="6" t="s">
        <v>2806</v>
      </c>
      <c r="D564" s="6" t="s">
        <v>1303</v>
      </c>
      <c r="E564" s="6" t="s">
        <v>1304</v>
      </c>
      <c r="F564" s="6" t="s">
        <v>2807</v>
      </c>
      <c r="G564" s="6" t="s">
        <v>1306</v>
      </c>
    </row>
    <row r="565" spans="1:7" ht="69.95" customHeight="1">
      <c r="A565" s="6" t="s">
        <v>2786</v>
      </c>
      <c r="B565" s="6" t="s">
        <v>2808</v>
      </c>
      <c r="C565" s="6" t="s">
        <v>2809</v>
      </c>
      <c r="D565" s="6" t="s">
        <v>1303</v>
      </c>
      <c r="E565" s="6" t="s">
        <v>1304</v>
      </c>
      <c r="F565" s="6" t="s">
        <v>2810</v>
      </c>
      <c r="G565" s="6" t="s">
        <v>1306</v>
      </c>
    </row>
    <row r="566" spans="1:7" ht="69.95" customHeight="1">
      <c r="A566" s="6" t="s">
        <v>2786</v>
      </c>
      <c r="B566" s="6" t="s">
        <v>2811</v>
      </c>
      <c r="C566" s="6" t="s">
        <v>2812</v>
      </c>
      <c r="D566" s="6" t="s">
        <v>1303</v>
      </c>
      <c r="E566" s="6" t="s">
        <v>1304</v>
      </c>
      <c r="F566" s="6" t="s">
        <v>2813</v>
      </c>
      <c r="G566" s="6" t="s">
        <v>1306</v>
      </c>
    </row>
    <row r="567" spans="1:7" ht="69.95" customHeight="1">
      <c r="A567" s="6" t="s">
        <v>2786</v>
      </c>
      <c r="B567" s="6" t="s">
        <v>2814</v>
      </c>
      <c r="C567" s="6" t="s">
        <v>2815</v>
      </c>
      <c r="D567" s="6" t="s">
        <v>1303</v>
      </c>
      <c r="E567" s="6" t="s">
        <v>1304</v>
      </c>
      <c r="F567" s="6" t="s">
        <v>2816</v>
      </c>
      <c r="G567" s="6" t="s">
        <v>1306</v>
      </c>
    </row>
    <row r="568" spans="1:7" ht="69.95" customHeight="1">
      <c r="A568" s="6" t="s">
        <v>2786</v>
      </c>
      <c r="B568" s="6" t="s">
        <v>2817</v>
      </c>
      <c r="C568" s="6" t="s">
        <v>2818</v>
      </c>
      <c r="D568" s="6" t="s">
        <v>1303</v>
      </c>
      <c r="E568" s="6" t="s">
        <v>1304</v>
      </c>
      <c r="F568" s="6" t="s">
        <v>2819</v>
      </c>
      <c r="G568" s="6" t="s">
        <v>1306</v>
      </c>
    </row>
    <row r="569" spans="1:7" ht="69.95" customHeight="1">
      <c r="A569" s="6" t="s">
        <v>2786</v>
      </c>
      <c r="B569" s="6" t="s">
        <v>2820</v>
      </c>
      <c r="C569" s="6" t="s">
        <v>2821</v>
      </c>
      <c r="D569" s="6" t="s">
        <v>1303</v>
      </c>
      <c r="E569" s="6" t="s">
        <v>1304</v>
      </c>
      <c r="F569" s="6" t="s">
        <v>2822</v>
      </c>
      <c r="G569" s="6" t="s">
        <v>1306</v>
      </c>
    </row>
    <row r="570" spans="1:7" ht="69.95" customHeight="1">
      <c r="A570" s="6" t="s">
        <v>1531</v>
      </c>
      <c r="B570" s="6" t="s">
        <v>2823</v>
      </c>
      <c r="C570" s="6" t="s">
        <v>2824</v>
      </c>
      <c r="D570" s="6" t="s">
        <v>1303</v>
      </c>
      <c r="E570" s="6" t="s">
        <v>1304</v>
      </c>
      <c r="F570" s="6" t="s">
        <v>2825</v>
      </c>
      <c r="G570" s="6" t="s">
        <v>1306</v>
      </c>
    </row>
    <row r="571" spans="1:7" ht="69.95" customHeight="1">
      <c r="A571" s="6" t="s">
        <v>1531</v>
      </c>
      <c r="B571" s="6" t="s">
        <v>2826</v>
      </c>
      <c r="C571" s="6" t="s">
        <v>2827</v>
      </c>
      <c r="D571" s="6" t="s">
        <v>1303</v>
      </c>
      <c r="E571" s="6" t="s">
        <v>1304</v>
      </c>
      <c r="F571" s="6" t="s">
        <v>2828</v>
      </c>
      <c r="G571" s="6" t="s">
        <v>1306</v>
      </c>
    </row>
    <row r="572" spans="1:7" ht="69.95" customHeight="1">
      <c r="A572" s="6" t="s">
        <v>1531</v>
      </c>
      <c r="B572" s="6" t="s">
        <v>2829</v>
      </c>
      <c r="C572" s="6" t="s">
        <v>2830</v>
      </c>
      <c r="D572" s="6" t="s">
        <v>1303</v>
      </c>
      <c r="E572" s="6" t="s">
        <v>1304</v>
      </c>
      <c r="F572" s="6" t="s">
        <v>2831</v>
      </c>
      <c r="G572" s="6" t="s">
        <v>1306</v>
      </c>
    </row>
    <row r="573" spans="1:7" ht="69.95" customHeight="1">
      <c r="A573" s="6" t="s">
        <v>1531</v>
      </c>
      <c r="B573" s="6" t="s">
        <v>2832</v>
      </c>
      <c r="C573" s="6" t="s">
        <v>2833</v>
      </c>
      <c r="D573" s="6" t="s">
        <v>1303</v>
      </c>
      <c r="E573" s="6" t="s">
        <v>1304</v>
      </c>
      <c r="F573" s="6" t="s">
        <v>2834</v>
      </c>
      <c r="G573" s="6" t="s">
        <v>1306</v>
      </c>
    </row>
    <row r="574" spans="1:7" ht="69.95" customHeight="1">
      <c r="A574" s="6" t="s">
        <v>1531</v>
      </c>
      <c r="B574" s="6" t="s">
        <v>2835</v>
      </c>
      <c r="C574" s="6" t="s">
        <v>2836</v>
      </c>
      <c r="D574" s="6" t="s">
        <v>1303</v>
      </c>
      <c r="E574" s="6" t="s">
        <v>1951</v>
      </c>
      <c r="F574" s="6" t="s">
        <v>2837</v>
      </c>
      <c r="G574" s="6" t="s">
        <v>1306</v>
      </c>
    </row>
    <row r="575" spans="1:7" ht="69.95" customHeight="1">
      <c r="A575" s="6" t="s">
        <v>1531</v>
      </c>
      <c r="B575" s="6" t="s">
        <v>2838</v>
      </c>
      <c r="C575" s="6" t="s">
        <v>2839</v>
      </c>
      <c r="D575" s="6" t="s">
        <v>1303</v>
      </c>
      <c r="E575" s="6" t="s">
        <v>1951</v>
      </c>
      <c r="F575" s="6" t="s">
        <v>2840</v>
      </c>
      <c r="G575" s="6" t="s">
        <v>1306</v>
      </c>
    </row>
    <row r="576" spans="1:7" ht="69.95" customHeight="1">
      <c r="A576" s="6" t="s">
        <v>1531</v>
      </c>
      <c r="B576" s="6" t="s">
        <v>2841</v>
      </c>
      <c r="C576" s="6" t="s">
        <v>2842</v>
      </c>
      <c r="D576" s="6" t="s">
        <v>1303</v>
      </c>
      <c r="E576" s="6" t="s">
        <v>1304</v>
      </c>
      <c r="F576" s="6" t="s">
        <v>2843</v>
      </c>
      <c r="G576" s="6" t="s">
        <v>1306</v>
      </c>
    </row>
    <row r="577" spans="1:7" ht="69.95" customHeight="1">
      <c r="A577" s="6" t="s">
        <v>1531</v>
      </c>
      <c r="B577" s="6" t="s">
        <v>2844</v>
      </c>
      <c r="C577" s="6" t="s">
        <v>2845</v>
      </c>
      <c r="D577" s="6" t="s">
        <v>1303</v>
      </c>
      <c r="E577" s="6" t="s">
        <v>1304</v>
      </c>
      <c r="F577" s="6" t="s">
        <v>2846</v>
      </c>
      <c r="G577" s="6" t="s">
        <v>1306</v>
      </c>
    </row>
    <row r="578" spans="1:7" ht="69.95" customHeight="1">
      <c r="A578" s="6" t="s">
        <v>1531</v>
      </c>
      <c r="B578" s="6" t="s">
        <v>2847</v>
      </c>
      <c r="C578" s="6" t="s">
        <v>2848</v>
      </c>
      <c r="D578" s="6" t="s">
        <v>1303</v>
      </c>
      <c r="E578" s="6" t="s">
        <v>1304</v>
      </c>
      <c r="F578" s="6" t="s">
        <v>2849</v>
      </c>
      <c r="G578" s="6" t="s">
        <v>1306</v>
      </c>
    </row>
    <row r="579" spans="1:7" ht="69.95" customHeight="1">
      <c r="A579" s="6" t="s">
        <v>1531</v>
      </c>
      <c r="B579" s="6" t="s">
        <v>2850</v>
      </c>
      <c r="C579" s="6" t="s">
        <v>2851</v>
      </c>
      <c r="D579" s="6" t="s">
        <v>1303</v>
      </c>
      <c r="E579" s="6" t="s">
        <v>1304</v>
      </c>
      <c r="F579" s="6" t="s">
        <v>2852</v>
      </c>
      <c r="G579" s="6" t="s">
        <v>1306</v>
      </c>
    </row>
    <row r="580" spans="1:7" ht="69.95" customHeight="1">
      <c r="A580" s="6" t="s">
        <v>1531</v>
      </c>
      <c r="B580" s="6" t="s">
        <v>2853</v>
      </c>
      <c r="C580" s="6" t="s">
        <v>2854</v>
      </c>
      <c r="D580" s="6" t="s">
        <v>1303</v>
      </c>
      <c r="E580" s="6" t="s">
        <v>1304</v>
      </c>
      <c r="F580" s="6" t="s">
        <v>2855</v>
      </c>
      <c r="G580" s="6" t="s">
        <v>1306</v>
      </c>
    </row>
    <row r="581" spans="1:7" ht="69.95" customHeight="1">
      <c r="A581" s="6" t="s">
        <v>2856</v>
      </c>
      <c r="B581" s="6" t="s">
        <v>2857</v>
      </c>
      <c r="C581" s="6" t="s">
        <v>2858</v>
      </c>
      <c r="D581" s="6" t="s">
        <v>1303</v>
      </c>
      <c r="E581" s="6" t="s">
        <v>1304</v>
      </c>
      <c r="F581" s="6" t="s">
        <v>2859</v>
      </c>
      <c r="G581" s="6" t="s">
        <v>1306</v>
      </c>
    </row>
    <row r="582" spans="1:7" ht="69.95" customHeight="1">
      <c r="A582" s="6" t="s">
        <v>2856</v>
      </c>
      <c r="B582" s="6" t="s">
        <v>2860</v>
      </c>
      <c r="C582" s="6" t="s">
        <v>2861</v>
      </c>
      <c r="D582" s="6" t="s">
        <v>1303</v>
      </c>
      <c r="E582" s="6" t="s">
        <v>1304</v>
      </c>
      <c r="F582" s="6" t="s">
        <v>2862</v>
      </c>
      <c r="G582" s="6" t="s">
        <v>1306</v>
      </c>
    </row>
    <row r="583" spans="1:7" ht="69.95" customHeight="1">
      <c r="A583" s="6" t="s">
        <v>2856</v>
      </c>
      <c r="B583" s="6" t="s">
        <v>2863</v>
      </c>
      <c r="C583" s="6" t="s">
        <v>2864</v>
      </c>
      <c r="D583" s="6" t="s">
        <v>1303</v>
      </c>
      <c r="E583" s="6" t="s">
        <v>1304</v>
      </c>
      <c r="F583" s="6" t="s">
        <v>2865</v>
      </c>
      <c r="G583" s="6" t="s">
        <v>1306</v>
      </c>
    </row>
    <row r="584" spans="1:7" ht="69.95" customHeight="1">
      <c r="A584" s="6" t="s">
        <v>2856</v>
      </c>
      <c r="B584" s="6" t="s">
        <v>2866</v>
      </c>
      <c r="C584" s="6" t="s">
        <v>2867</v>
      </c>
      <c r="D584" s="6" t="s">
        <v>1303</v>
      </c>
      <c r="E584" s="6" t="s">
        <v>1304</v>
      </c>
      <c r="F584" s="6" t="s">
        <v>2868</v>
      </c>
      <c r="G584" s="6" t="s">
        <v>1306</v>
      </c>
    </row>
    <row r="585" spans="1:7" ht="69.95" customHeight="1">
      <c r="A585" s="6" t="s">
        <v>2856</v>
      </c>
      <c r="B585" s="6" t="s">
        <v>2869</v>
      </c>
      <c r="C585" s="6" t="s">
        <v>2870</v>
      </c>
      <c r="D585" s="6" t="s">
        <v>1303</v>
      </c>
      <c r="E585" s="6" t="s">
        <v>1304</v>
      </c>
      <c r="F585" s="6" t="s">
        <v>2871</v>
      </c>
      <c r="G585" s="6" t="s">
        <v>1306</v>
      </c>
    </row>
    <row r="586" spans="1:7" ht="69.95" customHeight="1">
      <c r="A586" s="6" t="s">
        <v>2856</v>
      </c>
      <c r="B586" s="6" t="s">
        <v>2872</v>
      </c>
      <c r="C586" s="6" t="s">
        <v>2873</v>
      </c>
      <c r="D586" s="6" t="s">
        <v>1303</v>
      </c>
      <c r="E586" s="6" t="s">
        <v>1304</v>
      </c>
      <c r="F586" s="6" t="s">
        <v>2874</v>
      </c>
      <c r="G586" s="6" t="s">
        <v>1306</v>
      </c>
    </row>
    <row r="587" spans="1:7" ht="69.95" customHeight="1">
      <c r="A587" s="6" t="s">
        <v>2856</v>
      </c>
      <c r="B587" s="6" t="s">
        <v>2875</v>
      </c>
      <c r="C587" s="6" t="s">
        <v>2876</v>
      </c>
      <c r="D587" s="6" t="s">
        <v>1303</v>
      </c>
      <c r="E587" s="6" t="s">
        <v>1304</v>
      </c>
      <c r="F587" s="6" t="s">
        <v>2877</v>
      </c>
      <c r="G587" s="6" t="s">
        <v>1306</v>
      </c>
    </row>
    <row r="588" spans="1:7" ht="69.95" customHeight="1">
      <c r="A588" s="6" t="s">
        <v>2856</v>
      </c>
      <c r="B588" s="6" t="s">
        <v>2878</v>
      </c>
      <c r="C588" s="6" t="s">
        <v>2879</v>
      </c>
      <c r="D588" s="6" t="s">
        <v>1303</v>
      </c>
      <c r="E588" s="6" t="s">
        <v>1304</v>
      </c>
      <c r="F588" s="6" t="s">
        <v>2880</v>
      </c>
      <c r="G588" s="6" t="s">
        <v>1306</v>
      </c>
    </row>
    <row r="589" spans="1:7" ht="69.95" customHeight="1">
      <c r="A589" s="6" t="s">
        <v>2856</v>
      </c>
      <c r="B589" s="6" t="s">
        <v>2881</v>
      </c>
      <c r="C589" s="6" t="s">
        <v>2882</v>
      </c>
      <c r="D589" s="6" t="s">
        <v>1303</v>
      </c>
      <c r="E589" s="6" t="s">
        <v>1304</v>
      </c>
      <c r="F589" s="6" t="s">
        <v>2883</v>
      </c>
      <c r="G589" s="6" t="s">
        <v>1306</v>
      </c>
    </row>
    <row r="590" spans="1:7" ht="69.95" customHeight="1">
      <c r="A590" s="6" t="s">
        <v>2884</v>
      </c>
      <c r="B590" s="6" t="s">
        <v>2885</v>
      </c>
      <c r="C590" s="6" t="s">
        <v>2886</v>
      </c>
      <c r="D590" s="6" t="s">
        <v>1303</v>
      </c>
      <c r="E590" s="6" t="s">
        <v>1304</v>
      </c>
      <c r="F590" s="6" t="s">
        <v>2887</v>
      </c>
      <c r="G590" s="6" t="s">
        <v>1306</v>
      </c>
    </row>
    <row r="591" spans="1:7" ht="69.95" customHeight="1">
      <c r="A591" s="6" t="s">
        <v>2884</v>
      </c>
      <c r="B591" s="6" t="s">
        <v>2888</v>
      </c>
      <c r="C591" s="6" t="s">
        <v>2889</v>
      </c>
      <c r="D591" s="6" t="s">
        <v>1303</v>
      </c>
      <c r="E591" s="6" t="s">
        <v>1304</v>
      </c>
      <c r="F591" s="6" t="s">
        <v>2890</v>
      </c>
      <c r="G591" s="6" t="s">
        <v>1306</v>
      </c>
    </row>
    <row r="592" spans="1:7" ht="69.95" customHeight="1">
      <c r="A592" s="6" t="s">
        <v>2884</v>
      </c>
      <c r="B592" s="6" t="s">
        <v>2891</v>
      </c>
      <c r="C592" s="6" t="s">
        <v>2892</v>
      </c>
      <c r="D592" s="6" t="s">
        <v>1303</v>
      </c>
      <c r="E592" s="6" t="s">
        <v>1304</v>
      </c>
      <c r="F592" s="6" t="s">
        <v>2893</v>
      </c>
      <c r="G592" s="6" t="s">
        <v>1306</v>
      </c>
    </row>
    <row r="593" spans="1:7" ht="69.95" customHeight="1">
      <c r="A593" s="6" t="s">
        <v>2884</v>
      </c>
      <c r="B593" s="6" t="s">
        <v>2894</v>
      </c>
      <c r="C593" s="6" t="s">
        <v>1341</v>
      </c>
      <c r="D593" s="6" t="s">
        <v>1303</v>
      </c>
      <c r="E593" s="6" t="s">
        <v>1304</v>
      </c>
      <c r="F593" s="6" t="s">
        <v>2895</v>
      </c>
      <c r="G593" s="6" t="s">
        <v>1306</v>
      </c>
    </row>
    <row r="594" spans="1:7" ht="69.95" customHeight="1">
      <c r="A594" s="6" t="s">
        <v>2884</v>
      </c>
      <c r="B594" s="6" t="s">
        <v>2896</v>
      </c>
      <c r="C594" s="6" t="s">
        <v>2897</v>
      </c>
      <c r="D594" s="6" t="s">
        <v>1303</v>
      </c>
      <c r="E594" s="6" t="s">
        <v>1304</v>
      </c>
      <c r="F594" s="6" t="s">
        <v>2898</v>
      </c>
      <c r="G594" s="6" t="s">
        <v>1306</v>
      </c>
    </row>
    <row r="595" spans="1:7" ht="69.95" customHeight="1">
      <c r="A595" s="6" t="s">
        <v>2884</v>
      </c>
      <c r="B595" s="6" t="s">
        <v>2899</v>
      </c>
      <c r="C595" s="6" t="s">
        <v>2900</v>
      </c>
      <c r="D595" s="6" t="s">
        <v>1303</v>
      </c>
      <c r="E595" s="6" t="s">
        <v>1304</v>
      </c>
      <c r="F595" s="6" t="s">
        <v>2901</v>
      </c>
      <c r="G595" s="6" t="s">
        <v>1306</v>
      </c>
    </row>
    <row r="596" spans="1:7" ht="69.95" customHeight="1">
      <c r="A596" s="6" t="s">
        <v>2902</v>
      </c>
      <c r="B596" s="6" t="s">
        <v>2903</v>
      </c>
      <c r="C596" s="6" t="s">
        <v>2904</v>
      </c>
      <c r="D596" s="6" t="s">
        <v>1303</v>
      </c>
      <c r="E596" s="6" t="s">
        <v>1304</v>
      </c>
      <c r="F596" s="6" t="s">
        <v>2905</v>
      </c>
      <c r="G596" s="6" t="s">
        <v>1306</v>
      </c>
    </row>
    <row r="597" spans="1:7" ht="69.95" customHeight="1">
      <c r="A597" s="6" t="s">
        <v>2902</v>
      </c>
      <c r="B597" s="6" t="s">
        <v>2906</v>
      </c>
      <c r="C597" s="6" t="s">
        <v>2907</v>
      </c>
      <c r="D597" s="6" t="s">
        <v>1303</v>
      </c>
      <c r="E597" s="6" t="s">
        <v>1304</v>
      </c>
      <c r="F597" s="6" t="s">
        <v>2908</v>
      </c>
      <c r="G597" s="6" t="s">
        <v>1306</v>
      </c>
    </row>
    <row r="598" spans="1:7" ht="69.95" customHeight="1">
      <c r="A598" s="6" t="s">
        <v>2902</v>
      </c>
      <c r="B598" s="6" t="s">
        <v>2909</v>
      </c>
      <c r="C598" s="6" t="s">
        <v>2910</v>
      </c>
      <c r="D598" s="6" t="s">
        <v>1303</v>
      </c>
      <c r="E598" s="6" t="s">
        <v>1304</v>
      </c>
      <c r="F598" s="6" t="s">
        <v>2911</v>
      </c>
      <c r="G598" s="6" t="s">
        <v>1306</v>
      </c>
    </row>
    <row r="599" spans="1:7" ht="69.95" customHeight="1">
      <c r="A599" s="6" t="s">
        <v>2912</v>
      </c>
      <c r="B599" s="6" t="s">
        <v>2912</v>
      </c>
      <c r="C599" s="6" t="s">
        <v>2913</v>
      </c>
      <c r="D599" s="6" t="s">
        <v>1303</v>
      </c>
      <c r="E599" s="6" t="s">
        <v>1304</v>
      </c>
      <c r="F599" s="6" t="s">
        <v>2914</v>
      </c>
      <c r="G599" s="6" t="s">
        <v>1306</v>
      </c>
    </row>
    <row r="600" spans="1:7" ht="69.95" customHeight="1">
      <c r="A600" s="6" t="s">
        <v>2912</v>
      </c>
      <c r="B600" s="6" t="s">
        <v>2915</v>
      </c>
      <c r="C600" s="6" t="s">
        <v>2916</v>
      </c>
      <c r="D600" s="6" t="s">
        <v>1303</v>
      </c>
      <c r="E600" s="6" t="s">
        <v>1304</v>
      </c>
      <c r="F600" s="6" t="s">
        <v>2917</v>
      </c>
      <c r="G600" s="6" t="s">
        <v>1306</v>
      </c>
    </row>
    <row r="601" spans="1:7" ht="69.95" customHeight="1">
      <c r="A601" s="6" t="s">
        <v>2918</v>
      </c>
      <c r="B601" s="6" t="s">
        <v>2919</v>
      </c>
      <c r="C601" s="6" t="s">
        <v>2920</v>
      </c>
      <c r="D601" s="6" t="s">
        <v>1303</v>
      </c>
      <c r="E601" s="6" t="s">
        <v>1304</v>
      </c>
      <c r="F601" s="6" t="s">
        <v>2921</v>
      </c>
      <c r="G601" s="6" t="s">
        <v>1306</v>
      </c>
    </row>
    <row r="602" spans="1:7" ht="69.95" customHeight="1">
      <c r="A602" s="6" t="s">
        <v>2918</v>
      </c>
      <c r="B602" s="6" t="s">
        <v>2922</v>
      </c>
      <c r="C602" s="6" t="s">
        <v>2923</v>
      </c>
      <c r="D602" s="6" t="s">
        <v>1303</v>
      </c>
      <c r="E602" s="6" t="s">
        <v>1304</v>
      </c>
      <c r="F602" s="6" t="s">
        <v>2924</v>
      </c>
      <c r="G602" s="6" t="s">
        <v>1306</v>
      </c>
    </row>
    <row r="603" spans="1:7" ht="69.95" customHeight="1">
      <c r="A603" s="6" t="s">
        <v>2918</v>
      </c>
      <c r="B603" s="6" t="s">
        <v>2925</v>
      </c>
      <c r="C603" s="6" t="s">
        <v>2926</v>
      </c>
      <c r="D603" s="6" t="s">
        <v>1303</v>
      </c>
      <c r="E603" s="6" t="s">
        <v>1304</v>
      </c>
      <c r="F603" s="6" t="s">
        <v>2927</v>
      </c>
      <c r="G603" s="6" t="s">
        <v>1306</v>
      </c>
    </row>
    <row r="604" spans="1:7" ht="69.95" customHeight="1">
      <c r="A604" s="6" t="s">
        <v>2918</v>
      </c>
      <c r="B604" s="6" t="s">
        <v>2928</v>
      </c>
      <c r="C604" s="6" t="s">
        <v>2929</v>
      </c>
      <c r="D604" s="6" t="s">
        <v>1303</v>
      </c>
      <c r="E604" s="6" t="s">
        <v>1304</v>
      </c>
      <c r="F604" s="6" t="s">
        <v>2930</v>
      </c>
      <c r="G604" s="6" t="s">
        <v>1306</v>
      </c>
    </row>
    <row r="605" spans="1:7" ht="69.95" customHeight="1">
      <c r="A605" s="6" t="s">
        <v>2918</v>
      </c>
      <c r="B605" s="6" t="s">
        <v>2931</v>
      </c>
      <c r="C605" s="6" t="s">
        <v>2932</v>
      </c>
      <c r="D605" s="6" t="s">
        <v>1303</v>
      </c>
      <c r="E605" s="6" t="s">
        <v>1304</v>
      </c>
      <c r="F605" s="6" t="s">
        <v>2933</v>
      </c>
      <c r="G605" s="6" t="s">
        <v>1306</v>
      </c>
    </row>
    <row r="606" spans="1:7" ht="69.95" customHeight="1">
      <c r="A606" s="6" t="s">
        <v>2918</v>
      </c>
      <c r="B606" s="6" t="s">
        <v>2934</v>
      </c>
      <c r="C606" s="6" t="s">
        <v>2935</v>
      </c>
      <c r="D606" s="6" t="s">
        <v>1303</v>
      </c>
      <c r="E606" s="6" t="s">
        <v>1304</v>
      </c>
      <c r="F606" s="6" t="s">
        <v>2936</v>
      </c>
      <c r="G606" s="6" t="s">
        <v>1306</v>
      </c>
    </row>
    <row r="607" spans="1:7" ht="69.95" customHeight="1">
      <c r="A607" s="6" t="s">
        <v>2918</v>
      </c>
      <c r="B607" s="6" t="s">
        <v>2937</v>
      </c>
      <c r="C607" s="6" t="s">
        <v>2938</v>
      </c>
      <c r="D607" s="6" t="s">
        <v>1303</v>
      </c>
      <c r="E607" s="6" t="s">
        <v>1304</v>
      </c>
      <c r="F607" s="6" t="s">
        <v>2939</v>
      </c>
      <c r="G607" s="6" t="s">
        <v>1306</v>
      </c>
    </row>
    <row r="608" spans="1:7" ht="69.95" customHeight="1">
      <c r="A608" s="6" t="s">
        <v>2918</v>
      </c>
      <c r="B608" s="6" t="s">
        <v>2940</v>
      </c>
      <c r="C608" s="6" t="s">
        <v>2941</v>
      </c>
      <c r="D608" s="6" t="s">
        <v>1303</v>
      </c>
      <c r="E608" s="6" t="s">
        <v>1304</v>
      </c>
      <c r="F608" s="6" t="s">
        <v>2942</v>
      </c>
      <c r="G608" s="6" t="s">
        <v>1306</v>
      </c>
    </row>
    <row r="609" spans="1:7" ht="69.95" customHeight="1">
      <c r="A609" s="6" t="s">
        <v>2918</v>
      </c>
      <c r="B609" s="6" t="s">
        <v>2943</v>
      </c>
      <c r="C609" s="6" t="s">
        <v>449</v>
      </c>
      <c r="D609" s="6" t="s">
        <v>1303</v>
      </c>
      <c r="E609" s="6" t="s">
        <v>1304</v>
      </c>
      <c r="F609" s="6" t="s">
        <v>2944</v>
      </c>
      <c r="G609" s="6" t="s">
        <v>1306</v>
      </c>
    </row>
    <row r="610" spans="1:7" ht="69.95" customHeight="1">
      <c r="A610" s="6" t="s">
        <v>2918</v>
      </c>
      <c r="B610" s="6" t="s">
        <v>2945</v>
      </c>
      <c r="C610" s="6" t="s">
        <v>2946</v>
      </c>
      <c r="D610" s="6" t="s">
        <v>1303</v>
      </c>
      <c r="E610" s="6" t="s">
        <v>1304</v>
      </c>
      <c r="F610" s="6" t="s">
        <v>2947</v>
      </c>
      <c r="G610" s="6" t="s">
        <v>1306</v>
      </c>
    </row>
    <row r="611" spans="1:7" ht="69.95" customHeight="1">
      <c r="A611" s="6" t="s">
        <v>2918</v>
      </c>
      <c r="B611" s="6" t="s">
        <v>2948</v>
      </c>
      <c r="C611" s="6" t="s">
        <v>2949</v>
      </c>
      <c r="D611" s="6" t="s">
        <v>1303</v>
      </c>
      <c r="E611" s="6" t="s">
        <v>1304</v>
      </c>
      <c r="F611" s="6" t="s">
        <v>2950</v>
      </c>
      <c r="G611" s="6" t="s">
        <v>1306</v>
      </c>
    </row>
    <row r="612" spans="1:7" ht="69.95" customHeight="1">
      <c r="A612" s="6" t="s">
        <v>2918</v>
      </c>
      <c r="B612" s="6" t="s">
        <v>2951</v>
      </c>
      <c r="C612" s="6" t="s">
        <v>2952</v>
      </c>
      <c r="D612" s="6" t="s">
        <v>1303</v>
      </c>
      <c r="E612" s="6" t="s">
        <v>1304</v>
      </c>
      <c r="F612" s="6" t="s">
        <v>2953</v>
      </c>
      <c r="G612" s="6" t="s">
        <v>1306</v>
      </c>
    </row>
    <row r="613" spans="1:7" ht="69.95" customHeight="1">
      <c r="A613" s="6" t="s">
        <v>2918</v>
      </c>
      <c r="B613" s="6" t="s">
        <v>2954</v>
      </c>
      <c r="C613" s="6" t="s">
        <v>2955</v>
      </c>
      <c r="D613" s="6" t="s">
        <v>1303</v>
      </c>
      <c r="E613" s="6" t="s">
        <v>1304</v>
      </c>
      <c r="F613" s="6" t="s">
        <v>2956</v>
      </c>
      <c r="G613" s="6" t="s">
        <v>1306</v>
      </c>
    </row>
    <row r="614" spans="1:7" ht="69.95" customHeight="1">
      <c r="A614" s="6" t="s">
        <v>2918</v>
      </c>
      <c r="B614" s="6" t="s">
        <v>2957</v>
      </c>
      <c r="C614" s="6" t="s">
        <v>454</v>
      </c>
      <c r="D614" s="6" t="s">
        <v>1303</v>
      </c>
      <c r="E614" s="6" t="s">
        <v>1304</v>
      </c>
      <c r="F614" s="6" t="s">
        <v>2958</v>
      </c>
      <c r="G614" s="6" t="s">
        <v>1306</v>
      </c>
    </row>
    <row r="615" spans="1:7" ht="69.95" customHeight="1">
      <c r="A615" s="6" t="s">
        <v>2918</v>
      </c>
      <c r="B615" s="6" t="s">
        <v>2959</v>
      </c>
      <c r="C615" s="6" t="s">
        <v>458</v>
      </c>
      <c r="D615" s="6" t="s">
        <v>1303</v>
      </c>
      <c r="E615" s="6" t="s">
        <v>1304</v>
      </c>
      <c r="F615" s="6" t="s">
        <v>2960</v>
      </c>
      <c r="G615" s="6" t="s">
        <v>1306</v>
      </c>
    </row>
    <row r="616" spans="1:7" ht="69.95" customHeight="1">
      <c r="A616" s="6" t="s">
        <v>2918</v>
      </c>
      <c r="B616" s="6" t="s">
        <v>2961</v>
      </c>
      <c r="C616" s="6" t="s">
        <v>465</v>
      </c>
      <c r="D616" s="6" t="s">
        <v>1303</v>
      </c>
      <c r="E616" s="6" t="s">
        <v>1304</v>
      </c>
      <c r="F616" s="6" t="s">
        <v>2962</v>
      </c>
      <c r="G616" s="6" t="s">
        <v>1306</v>
      </c>
    </row>
    <row r="617" spans="1:7" ht="69.95" customHeight="1">
      <c r="A617" s="6" t="s">
        <v>2918</v>
      </c>
      <c r="B617" s="6" t="s">
        <v>2963</v>
      </c>
      <c r="C617" s="6" t="s">
        <v>469</v>
      </c>
      <c r="D617" s="6" t="s">
        <v>1303</v>
      </c>
      <c r="E617" s="6" t="s">
        <v>1304</v>
      </c>
      <c r="F617" s="6" t="s">
        <v>2964</v>
      </c>
      <c r="G617" s="6" t="s">
        <v>1306</v>
      </c>
    </row>
    <row r="618" spans="1:7" ht="69.95" customHeight="1">
      <c r="A618" s="6" t="s">
        <v>2918</v>
      </c>
      <c r="B618" s="6" t="s">
        <v>2965</v>
      </c>
      <c r="C618" s="6" t="s">
        <v>2966</v>
      </c>
      <c r="D618" s="6" t="s">
        <v>1303</v>
      </c>
      <c r="E618" s="6" t="s">
        <v>1304</v>
      </c>
      <c r="F618" s="6" t="s">
        <v>2967</v>
      </c>
      <c r="G618" s="6" t="s">
        <v>1306</v>
      </c>
    </row>
    <row r="619" spans="1:7" ht="69.95" customHeight="1">
      <c r="A619" s="6" t="s">
        <v>2918</v>
      </c>
      <c r="B619" s="6" t="s">
        <v>2968</v>
      </c>
      <c r="C619" s="6" t="s">
        <v>2969</v>
      </c>
      <c r="D619" s="6" t="s">
        <v>1303</v>
      </c>
      <c r="E619" s="6" t="s">
        <v>1304</v>
      </c>
      <c r="F619" s="6" t="s">
        <v>2970</v>
      </c>
      <c r="G619" s="6" t="s">
        <v>1306</v>
      </c>
    </row>
    <row r="620" spans="1:7" ht="69.95" customHeight="1">
      <c r="A620" s="6" t="s">
        <v>2918</v>
      </c>
      <c r="B620" s="6" t="s">
        <v>2971</v>
      </c>
      <c r="C620" s="6" t="s">
        <v>2972</v>
      </c>
      <c r="D620" s="6" t="s">
        <v>1303</v>
      </c>
      <c r="E620" s="6" t="s">
        <v>1304</v>
      </c>
      <c r="F620" s="6" t="s">
        <v>2973</v>
      </c>
      <c r="G620" s="6" t="s">
        <v>1306</v>
      </c>
    </row>
    <row r="621" spans="1:7" ht="69.95" customHeight="1">
      <c r="A621" s="6" t="s">
        <v>2918</v>
      </c>
      <c r="B621" s="6" t="s">
        <v>2974</v>
      </c>
      <c r="C621" s="6" t="s">
        <v>2975</v>
      </c>
      <c r="D621" s="6" t="s">
        <v>1303</v>
      </c>
      <c r="E621" s="6" t="s">
        <v>1304</v>
      </c>
      <c r="F621" s="6" t="s">
        <v>2976</v>
      </c>
      <c r="G621" s="6" t="s">
        <v>1306</v>
      </c>
    </row>
    <row r="622" spans="1:7" ht="69.95" customHeight="1">
      <c r="A622" s="6" t="s">
        <v>2918</v>
      </c>
      <c r="B622" s="6" t="s">
        <v>2977</v>
      </c>
      <c r="C622" s="6" t="s">
        <v>2978</v>
      </c>
      <c r="D622" s="6" t="s">
        <v>1303</v>
      </c>
      <c r="E622" s="6" t="s">
        <v>1304</v>
      </c>
      <c r="F622" s="6" t="s">
        <v>2979</v>
      </c>
      <c r="G622" s="6" t="s">
        <v>1306</v>
      </c>
    </row>
    <row r="623" spans="1:7" ht="69.95" customHeight="1">
      <c r="A623" s="6" t="s">
        <v>2918</v>
      </c>
      <c r="B623" s="6" t="s">
        <v>2980</v>
      </c>
      <c r="C623" s="6" t="s">
        <v>2981</v>
      </c>
      <c r="D623" s="6" t="s">
        <v>1303</v>
      </c>
      <c r="E623" s="6" t="s">
        <v>1304</v>
      </c>
      <c r="F623" s="6" t="s">
        <v>2982</v>
      </c>
      <c r="G623" s="6" t="s">
        <v>1306</v>
      </c>
    </row>
    <row r="624" spans="1:7" ht="69.95" customHeight="1">
      <c r="A624" s="6" t="s">
        <v>2918</v>
      </c>
      <c r="B624" s="6" t="s">
        <v>2983</v>
      </c>
      <c r="C624" s="6" t="s">
        <v>2984</v>
      </c>
      <c r="D624" s="6" t="s">
        <v>1303</v>
      </c>
      <c r="E624" s="6" t="s">
        <v>1304</v>
      </c>
      <c r="F624" s="6" t="s">
        <v>2985</v>
      </c>
      <c r="G624" s="6" t="s">
        <v>1306</v>
      </c>
    </row>
    <row r="625" spans="1:7" ht="69.95" customHeight="1">
      <c r="A625" s="6" t="s">
        <v>2918</v>
      </c>
      <c r="B625" s="6" t="s">
        <v>2986</v>
      </c>
      <c r="C625" s="6" t="s">
        <v>2987</v>
      </c>
      <c r="D625" s="6" t="s">
        <v>1303</v>
      </c>
      <c r="E625" s="6" t="s">
        <v>1304</v>
      </c>
      <c r="F625" s="6" t="s">
        <v>2988</v>
      </c>
      <c r="G625" s="6" t="s">
        <v>1306</v>
      </c>
    </row>
    <row r="626" spans="1:7" ht="69.95" customHeight="1">
      <c r="A626" s="6" t="s">
        <v>2918</v>
      </c>
      <c r="B626" s="6" t="s">
        <v>2989</v>
      </c>
      <c r="C626" s="6" t="s">
        <v>2990</v>
      </c>
      <c r="D626" s="6" t="s">
        <v>1303</v>
      </c>
      <c r="E626" s="6" t="s">
        <v>1304</v>
      </c>
      <c r="F626" s="6" t="s">
        <v>2991</v>
      </c>
      <c r="G626" s="6" t="s">
        <v>1306</v>
      </c>
    </row>
    <row r="627" spans="1:7" ht="69.95" customHeight="1">
      <c r="A627" s="6" t="s">
        <v>2918</v>
      </c>
      <c r="B627" s="6" t="s">
        <v>2992</v>
      </c>
      <c r="C627" s="6" t="s">
        <v>2993</v>
      </c>
      <c r="D627" s="6" t="s">
        <v>1303</v>
      </c>
      <c r="E627" s="6" t="s">
        <v>1304</v>
      </c>
      <c r="F627" s="6" t="s">
        <v>2994</v>
      </c>
      <c r="G627" s="6" t="s">
        <v>1306</v>
      </c>
    </row>
    <row r="628" spans="1:7" ht="69.95" customHeight="1">
      <c r="A628" s="6" t="s">
        <v>2918</v>
      </c>
      <c r="B628" s="6" t="s">
        <v>2995</v>
      </c>
      <c r="C628" s="6" t="s">
        <v>2996</v>
      </c>
      <c r="D628" s="6" t="s">
        <v>1303</v>
      </c>
      <c r="E628" s="6" t="s">
        <v>1304</v>
      </c>
      <c r="F628" s="6" t="s">
        <v>2997</v>
      </c>
      <c r="G628" s="6" t="s">
        <v>1306</v>
      </c>
    </row>
    <row r="629" spans="1:7" ht="69.95" customHeight="1">
      <c r="A629" s="6" t="s">
        <v>2918</v>
      </c>
      <c r="B629" s="6" t="s">
        <v>2998</v>
      </c>
      <c r="C629" s="6" t="s">
        <v>2999</v>
      </c>
      <c r="D629" s="6" t="s">
        <v>1303</v>
      </c>
      <c r="E629" s="6" t="s">
        <v>1304</v>
      </c>
      <c r="F629" s="6" t="s">
        <v>3000</v>
      </c>
      <c r="G629" s="6" t="s">
        <v>1306</v>
      </c>
    </row>
    <row r="630" spans="1:7" ht="69.95" customHeight="1">
      <c r="A630" s="6" t="s">
        <v>2918</v>
      </c>
      <c r="B630" s="6" t="s">
        <v>3001</v>
      </c>
      <c r="C630" s="6" t="s">
        <v>3002</v>
      </c>
      <c r="D630" s="6" t="s">
        <v>1303</v>
      </c>
      <c r="E630" s="6" t="s">
        <v>1304</v>
      </c>
      <c r="F630" s="6" t="s">
        <v>3003</v>
      </c>
      <c r="G630" s="6" t="s">
        <v>1306</v>
      </c>
    </row>
    <row r="631" spans="1:7" ht="69.95" customHeight="1">
      <c r="A631" s="6" t="s">
        <v>2918</v>
      </c>
      <c r="B631" s="6" t="s">
        <v>3004</v>
      </c>
      <c r="C631" s="6" t="s">
        <v>3005</v>
      </c>
      <c r="D631" s="6" t="s">
        <v>1303</v>
      </c>
      <c r="E631" s="6" t="s">
        <v>1304</v>
      </c>
      <c r="F631" s="6" t="s">
        <v>3006</v>
      </c>
      <c r="G631" s="6" t="s">
        <v>1306</v>
      </c>
    </row>
    <row r="632" spans="1:7" ht="69.95" customHeight="1">
      <c r="A632" s="6" t="s">
        <v>2918</v>
      </c>
      <c r="B632" s="6" t="s">
        <v>3007</v>
      </c>
      <c r="C632" s="6" t="s">
        <v>3008</v>
      </c>
      <c r="D632" s="6" t="s">
        <v>1303</v>
      </c>
      <c r="E632" s="6" t="s">
        <v>1304</v>
      </c>
      <c r="F632" s="6" t="s">
        <v>3009</v>
      </c>
      <c r="G632" s="6" t="s">
        <v>1306</v>
      </c>
    </row>
    <row r="633" spans="1:7" ht="69.95" customHeight="1">
      <c r="A633" s="6" t="s">
        <v>2918</v>
      </c>
      <c r="B633" s="6" t="s">
        <v>3010</v>
      </c>
      <c r="C633" s="6" t="s">
        <v>3011</v>
      </c>
      <c r="D633" s="6" t="s">
        <v>1303</v>
      </c>
      <c r="E633" s="6" t="s">
        <v>1304</v>
      </c>
      <c r="F633" s="6" t="s">
        <v>3012</v>
      </c>
      <c r="G633" s="6" t="s">
        <v>1306</v>
      </c>
    </row>
    <row r="634" spans="1:7" ht="69.95" customHeight="1">
      <c r="A634" s="6" t="s">
        <v>2918</v>
      </c>
      <c r="B634" s="6" t="s">
        <v>3013</v>
      </c>
      <c r="C634" s="6" t="s">
        <v>3014</v>
      </c>
      <c r="D634" s="6" t="s">
        <v>1303</v>
      </c>
      <c r="E634" s="6" t="s">
        <v>1304</v>
      </c>
      <c r="F634" s="6" t="s">
        <v>3015</v>
      </c>
      <c r="G634" s="6" t="s">
        <v>1306</v>
      </c>
    </row>
    <row r="635" spans="1:7" ht="69.95" customHeight="1">
      <c r="A635" s="6" t="s">
        <v>2918</v>
      </c>
      <c r="B635" s="6" t="s">
        <v>3016</v>
      </c>
      <c r="C635" s="6" t="s">
        <v>3017</v>
      </c>
      <c r="D635" s="6" t="s">
        <v>1303</v>
      </c>
      <c r="E635" s="6" t="s">
        <v>1304</v>
      </c>
      <c r="F635" s="6" t="s">
        <v>3018</v>
      </c>
      <c r="G635" s="6" t="s">
        <v>1306</v>
      </c>
    </row>
    <row r="636" spans="1:7" ht="69.95" customHeight="1">
      <c r="A636" s="6" t="s">
        <v>2918</v>
      </c>
      <c r="B636" s="6" t="s">
        <v>3019</v>
      </c>
      <c r="C636" s="6" t="s">
        <v>3020</v>
      </c>
      <c r="D636" s="6" t="s">
        <v>1303</v>
      </c>
      <c r="E636" s="6" t="s">
        <v>1304</v>
      </c>
      <c r="F636" s="6" t="s">
        <v>3021</v>
      </c>
      <c r="G636" s="6" t="s">
        <v>1306</v>
      </c>
    </row>
    <row r="637" spans="1:7" ht="69.95" customHeight="1">
      <c r="A637" s="6" t="s">
        <v>2918</v>
      </c>
      <c r="B637" s="6" t="s">
        <v>3022</v>
      </c>
      <c r="C637" s="6" t="s">
        <v>3023</v>
      </c>
      <c r="D637" s="6" t="s">
        <v>1303</v>
      </c>
      <c r="E637" s="6" t="s">
        <v>1304</v>
      </c>
      <c r="F637" s="6" t="s">
        <v>3024</v>
      </c>
      <c r="G637" s="6" t="s">
        <v>1306</v>
      </c>
    </row>
    <row r="638" spans="1:7" ht="69.95" customHeight="1">
      <c r="A638" s="6" t="s">
        <v>2918</v>
      </c>
      <c r="B638" s="6" t="s">
        <v>3025</v>
      </c>
      <c r="C638" s="6" t="s">
        <v>3026</v>
      </c>
      <c r="D638" s="6" t="s">
        <v>1303</v>
      </c>
      <c r="E638" s="6" t="s">
        <v>1304</v>
      </c>
      <c r="F638" s="6" t="s">
        <v>3027</v>
      </c>
      <c r="G638" s="6" t="s">
        <v>1306</v>
      </c>
    </row>
    <row r="639" spans="1:7" ht="69.95" customHeight="1">
      <c r="A639" s="6" t="s">
        <v>2918</v>
      </c>
      <c r="B639" s="6" t="s">
        <v>3028</v>
      </c>
      <c r="C639" s="6" t="s">
        <v>3029</v>
      </c>
      <c r="D639" s="6" t="s">
        <v>1303</v>
      </c>
      <c r="E639" s="6" t="s">
        <v>1304</v>
      </c>
      <c r="F639" s="6" t="s">
        <v>3030</v>
      </c>
      <c r="G639" s="6" t="s">
        <v>1306</v>
      </c>
    </row>
    <row r="640" spans="1:7" ht="69.95" customHeight="1">
      <c r="A640" s="6" t="s">
        <v>2918</v>
      </c>
      <c r="B640" s="6" t="s">
        <v>3031</v>
      </c>
      <c r="C640" s="6" t="s">
        <v>3032</v>
      </c>
      <c r="D640" s="6" t="s">
        <v>1303</v>
      </c>
      <c r="E640" s="6" t="s">
        <v>1304</v>
      </c>
      <c r="F640" s="6" t="s">
        <v>3033</v>
      </c>
      <c r="G640" s="6" t="s">
        <v>1306</v>
      </c>
    </row>
    <row r="641" spans="1:7" ht="69.95" customHeight="1">
      <c r="A641" s="6" t="s">
        <v>2918</v>
      </c>
      <c r="B641" s="6" t="s">
        <v>3034</v>
      </c>
      <c r="C641" s="6" t="s">
        <v>3035</v>
      </c>
      <c r="D641" s="6" t="s">
        <v>1303</v>
      </c>
      <c r="E641" s="6" t="s">
        <v>1304</v>
      </c>
      <c r="F641" s="6" t="s">
        <v>3036</v>
      </c>
      <c r="G641" s="6" t="s">
        <v>1306</v>
      </c>
    </row>
    <row r="642" spans="1:7" ht="69.95" customHeight="1">
      <c r="A642" s="6" t="s">
        <v>2918</v>
      </c>
      <c r="B642" s="6" t="s">
        <v>3037</v>
      </c>
      <c r="C642" s="6" t="s">
        <v>3038</v>
      </c>
      <c r="D642" s="6" t="s">
        <v>1303</v>
      </c>
      <c r="E642" s="6" t="s">
        <v>1304</v>
      </c>
      <c r="F642" s="6" t="s">
        <v>3039</v>
      </c>
      <c r="G642" s="6" t="s">
        <v>1306</v>
      </c>
    </row>
    <row r="643" spans="1:7" ht="69.95" customHeight="1">
      <c r="A643" s="6" t="s">
        <v>2918</v>
      </c>
      <c r="B643" s="6" t="s">
        <v>3040</v>
      </c>
      <c r="C643" s="6" t="s">
        <v>3041</v>
      </c>
      <c r="D643" s="6" t="s">
        <v>1303</v>
      </c>
      <c r="E643" s="6" t="s">
        <v>1304</v>
      </c>
      <c r="F643" s="6" t="s">
        <v>3042</v>
      </c>
      <c r="G643" s="6" t="s">
        <v>1306</v>
      </c>
    </row>
    <row r="644" spans="1:7" ht="69.95" customHeight="1">
      <c r="A644" s="6" t="s">
        <v>2918</v>
      </c>
      <c r="B644" s="6" t="s">
        <v>3043</v>
      </c>
      <c r="C644" s="6" t="s">
        <v>3044</v>
      </c>
      <c r="D644" s="6" t="s">
        <v>1303</v>
      </c>
      <c r="E644" s="6" t="s">
        <v>1304</v>
      </c>
      <c r="F644" s="6" t="s">
        <v>3045</v>
      </c>
      <c r="G644" s="6" t="s">
        <v>1306</v>
      </c>
    </row>
    <row r="645" spans="1:7" ht="69.95" customHeight="1">
      <c r="A645" s="6" t="s">
        <v>3046</v>
      </c>
      <c r="B645" s="6" t="s">
        <v>3047</v>
      </c>
      <c r="C645" s="6" t="s">
        <v>3048</v>
      </c>
      <c r="D645" s="6" t="s">
        <v>1303</v>
      </c>
      <c r="E645" s="6" t="s">
        <v>1304</v>
      </c>
      <c r="F645" s="6" t="s">
        <v>3049</v>
      </c>
      <c r="G645" s="6" t="s">
        <v>1306</v>
      </c>
    </row>
    <row r="646" spans="1:7" ht="69.95" customHeight="1">
      <c r="A646" s="6" t="s">
        <v>3046</v>
      </c>
      <c r="B646" s="6" t="s">
        <v>3050</v>
      </c>
      <c r="C646" s="6" t="s">
        <v>3051</v>
      </c>
      <c r="D646" s="6" t="s">
        <v>1303</v>
      </c>
      <c r="E646" s="6" t="s">
        <v>1304</v>
      </c>
      <c r="F646" s="6" t="s">
        <v>3052</v>
      </c>
      <c r="G646" s="6" t="s">
        <v>1306</v>
      </c>
    </row>
    <row r="647" spans="1:7" ht="69.95" customHeight="1">
      <c r="A647" s="6" t="s">
        <v>3046</v>
      </c>
      <c r="B647" s="6" t="s">
        <v>3053</v>
      </c>
      <c r="C647" s="6" t="s">
        <v>3054</v>
      </c>
      <c r="D647" s="6" t="s">
        <v>1303</v>
      </c>
      <c r="E647" s="6" t="s">
        <v>1304</v>
      </c>
      <c r="F647" s="6" t="s">
        <v>3055</v>
      </c>
      <c r="G647" s="6" t="s">
        <v>1306</v>
      </c>
    </row>
    <row r="648" spans="1:7" ht="69.95" customHeight="1">
      <c r="A648" s="6" t="s">
        <v>3046</v>
      </c>
      <c r="B648" s="6" t="s">
        <v>3056</v>
      </c>
      <c r="C648" s="6" t="s">
        <v>3057</v>
      </c>
      <c r="D648" s="6" t="s">
        <v>1303</v>
      </c>
      <c r="E648" s="6" t="s">
        <v>1304</v>
      </c>
      <c r="F648" s="6" t="s">
        <v>3058</v>
      </c>
      <c r="G648" s="6" t="s">
        <v>1306</v>
      </c>
    </row>
    <row r="649" spans="1:7" ht="69.95" customHeight="1">
      <c r="A649" s="6" t="s">
        <v>3046</v>
      </c>
      <c r="B649" s="6" t="s">
        <v>3059</v>
      </c>
      <c r="C649" s="6" t="s">
        <v>3060</v>
      </c>
      <c r="D649" s="6" t="s">
        <v>1303</v>
      </c>
      <c r="E649" s="6" t="s">
        <v>1304</v>
      </c>
      <c r="F649" s="6" t="s">
        <v>3061</v>
      </c>
      <c r="G649" s="6" t="s">
        <v>1306</v>
      </c>
    </row>
    <row r="650" spans="1:7" ht="69.95" customHeight="1">
      <c r="A650" s="6" t="s">
        <v>3046</v>
      </c>
      <c r="B650" s="6" t="s">
        <v>3062</v>
      </c>
      <c r="C650" s="6" t="s">
        <v>3063</v>
      </c>
      <c r="D650" s="6" t="s">
        <v>1303</v>
      </c>
      <c r="E650" s="6" t="s">
        <v>1304</v>
      </c>
      <c r="F650" s="6" t="s">
        <v>3064</v>
      </c>
      <c r="G650" s="6" t="s">
        <v>1306</v>
      </c>
    </row>
    <row r="651" spans="1:7" ht="69.95" customHeight="1">
      <c r="A651" s="6" t="s">
        <v>3046</v>
      </c>
      <c r="B651" s="6" t="s">
        <v>2980</v>
      </c>
      <c r="C651" s="6" t="s">
        <v>2981</v>
      </c>
      <c r="D651" s="6" t="s">
        <v>1303</v>
      </c>
      <c r="E651" s="6" t="s">
        <v>1304</v>
      </c>
      <c r="F651" s="6" t="s">
        <v>3065</v>
      </c>
      <c r="G651" s="6" t="s">
        <v>1306</v>
      </c>
    </row>
    <row r="652" spans="1:7" ht="69.95" customHeight="1">
      <c r="A652" s="6" t="s">
        <v>3046</v>
      </c>
      <c r="B652" s="6" t="s">
        <v>2983</v>
      </c>
      <c r="C652" s="6" t="s">
        <v>2984</v>
      </c>
      <c r="D652" s="6" t="s">
        <v>1303</v>
      </c>
      <c r="E652" s="6" t="s">
        <v>1304</v>
      </c>
      <c r="F652" s="6" t="s">
        <v>3066</v>
      </c>
      <c r="G652" s="6" t="s">
        <v>1306</v>
      </c>
    </row>
    <row r="653" spans="1:7" ht="69.95" customHeight="1">
      <c r="A653" s="6" t="s">
        <v>3046</v>
      </c>
      <c r="B653" s="6" t="s">
        <v>2986</v>
      </c>
      <c r="C653" s="6" t="s">
        <v>2987</v>
      </c>
      <c r="D653" s="6" t="s">
        <v>1303</v>
      </c>
      <c r="E653" s="6" t="s">
        <v>1304</v>
      </c>
      <c r="F653" s="6" t="s">
        <v>3067</v>
      </c>
      <c r="G653" s="6" t="s">
        <v>1306</v>
      </c>
    </row>
    <row r="654" spans="1:7" ht="69.95" customHeight="1">
      <c r="A654" s="6" t="s">
        <v>3046</v>
      </c>
      <c r="B654" s="6" t="s">
        <v>2989</v>
      </c>
      <c r="C654" s="6" t="s">
        <v>2990</v>
      </c>
      <c r="D654" s="6" t="s">
        <v>1303</v>
      </c>
      <c r="E654" s="6" t="s">
        <v>1304</v>
      </c>
      <c r="F654" s="6" t="s">
        <v>3068</v>
      </c>
      <c r="G654" s="6" t="s">
        <v>1306</v>
      </c>
    </row>
    <row r="655" spans="1:7" ht="69.95" customHeight="1">
      <c r="A655" s="6" t="s">
        <v>3046</v>
      </c>
      <c r="B655" s="6" t="s">
        <v>2992</v>
      </c>
      <c r="C655" s="6" t="s">
        <v>2993</v>
      </c>
      <c r="D655" s="6" t="s">
        <v>1303</v>
      </c>
      <c r="E655" s="6" t="s">
        <v>1304</v>
      </c>
      <c r="F655" s="6" t="s">
        <v>3069</v>
      </c>
      <c r="G655" s="6" t="s">
        <v>1306</v>
      </c>
    </row>
    <row r="656" spans="1:7" ht="69.95" customHeight="1">
      <c r="A656" s="6" t="s">
        <v>3046</v>
      </c>
      <c r="B656" s="6" t="s">
        <v>2995</v>
      </c>
      <c r="C656" s="6" t="s">
        <v>2996</v>
      </c>
      <c r="D656" s="6" t="s">
        <v>1303</v>
      </c>
      <c r="E656" s="6" t="s">
        <v>1304</v>
      </c>
      <c r="F656" s="6" t="s">
        <v>3070</v>
      </c>
      <c r="G656" s="6" t="s">
        <v>1306</v>
      </c>
    </row>
    <row r="657" spans="1:7" ht="69.95" customHeight="1">
      <c r="A657" s="6" t="s">
        <v>3046</v>
      </c>
      <c r="B657" s="6" t="s">
        <v>2998</v>
      </c>
      <c r="C657" s="6" t="s">
        <v>2999</v>
      </c>
      <c r="D657" s="6" t="s">
        <v>1303</v>
      </c>
      <c r="E657" s="6" t="s">
        <v>1304</v>
      </c>
      <c r="F657" s="6" t="s">
        <v>3071</v>
      </c>
      <c r="G657" s="6" t="s">
        <v>1306</v>
      </c>
    </row>
    <row r="658" spans="1:7" ht="69.95" customHeight="1">
      <c r="A658" s="6" t="s">
        <v>3046</v>
      </c>
      <c r="B658" s="6" t="s">
        <v>3001</v>
      </c>
      <c r="C658" s="6" t="s">
        <v>3002</v>
      </c>
      <c r="D658" s="6" t="s">
        <v>1303</v>
      </c>
      <c r="E658" s="6" t="s">
        <v>1304</v>
      </c>
      <c r="F658" s="6" t="s">
        <v>3072</v>
      </c>
      <c r="G658" s="6" t="s">
        <v>1306</v>
      </c>
    </row>
    <row r="659" spans="1:7" ht="69.95" customHeight="1">
      <c r="A659" s="6" t="s">
        <v>3073</v>
      </c>
      <c r="B659" s="6" t="s">
        <v>3074</v>
      </c>
      <c r="C659" s="6" t="s">
        <v>3075</v>
      </c>
      <c r="D659" s="6" t="s">
        <v>1303</v>
      </c>
      <c r="E659" s="6" t="s">
        <v>1304</v>
      </c>
      <c r="F659" s="6" t="s">
        <v>3076</v>
      </c>
      <c r="G659" s="6" t="s">
        <v>1306</v>
      </c>
    </row>
    <row r="660" spans="1:7" ht="69.95" customHeight="1">
      <c r="A660" s="6" t="s">
        <v>3073</v>
      </c>
      <c r="B660" s="6" t="s">
        <v>3077</v>
      </c>
      <c r="C660" s="6" t="s">
        <v>3078</v>
      </c>
      <c r="D660" s="6" t="s">
        <v>1303</v>
      </c>
      <c r="E660" s="6" t="s">
        <v>1304</v>
      </c>
      <c r="F660" s="6" t="s">
        <v>3079</v>
      </c>
      <c r="G660" s="6" t="s">
        <v>1306</v>
      </c>
    </row>
    <row r="661" spans="1:7" ht="69.95" customHeight="1">
      <c r="A661" s="6" t="s">
        <v>3073</v>
      </c>
      <c r="B661" s="6" t="s">
        <v>3080</v>
      </c>
      <c r="C661" s="6" t="s">
        <v>3081</v>
      </c>
      <c r="D661" s="6" t="s">
        <v>1303</v>
      </c>
      <c r="E661" s="6" t="s">
        <v>1304</v>
      </c>
      <c r="F661" s="6" t="s">
        <v>3082</v>
      </c>
      <c r="G661" s="6" t="s">
        <v>1306</v>
      </c>
    </row>
    <row r="662" spans="1:7" ht="69.95" customHeight="1">
      <c r="A662" s="6" t="s">
        <v>3073</v>
      </c>
      <c r="B662" s="6" t="s">
        <v>3083</v>
      </c>
      <c r="C662" s="6" t="s">
        <v>3084</v>
      </c>
      <c r="D662" s="6" t="s">
        <v>1303</v>
      </c>
      <c r="E662" s="6" t="s">
        <v>1304</v>
      </c>
      <c r="F662" s="6" t="s">
        <v>3085</v>
      </c>
      <c r="G662" s="6" t="s">
        <v>1306</v>
      </c>
    </row>
    <row r="663" spans="1:7" ht="69.95" customHeight="1">
      <c r="A663" s="6" t="s">
        <v>3073</v>
      </c>
      <c r="B663" s="6" t="s">
        <v>3086</v>
      </c>
      <c r="C663" s="6" t="s">
        <v>3087</v>
      </c>
      <c r="D663" s="6" t="s">
        <v>1303</v>
      </c>
      <c r="E663" s="6" t="s">
        <v>1304</v>
      </c>
      <c r="F663" s="6" t="s">
        <v>3088</v>
      </c>
      <c r="G663" s="6" t="s">
        <v>1306</v>
      </c>
    </row>
    <row r="664" spans="1:7" ht="69.95" customHeight="1">
      <c r="A664" s="6" t="s">
        <v>3073</v>
      </c>
      <c r="B664" s="6" t="s">
        <v>3089</v>
      </c>
      <c r="C664" s="6" t="s">
        <v>3090</v>
      </c>
      <c r="D664" s="6" t="s">
        <v>1303</v>
      </c>
      <c r="E664" s="6" t="s">
        <v>1304</v>
      </c>
      <c r="F664" s="6" t="s">
        <v>3091</v>
      </c>
      <c r="G664" s="6" t="s">
        <v>1306</v>
      </c>
    </row>
    <row r="665" spans="1:7" ht="69.95" customHeight="1">
      <c r="A665" s="6" t="s">
        <v>3073</v>
      </c>
      <c r="B665" s="6" t="s">
        <v>3092</v>
      </c>
      <c r="C665" s="6" t="s">
        <v>3093</v>
      </c>
      <c r="D665" s="6" t="s">
        <v>1303</v>
      </c>
      <c r="E665" s="6" t="s">
        <v>1304</v>
      </c>
      <c r="F665" s="6" t="s">
        <v>3094</v>
      </c>
      <c r="G665" s="6" t="s">
        <v>1306</v>
      </c>
    </row>
    <row r="666" spans="1:7" ht="69.95" customHeight="1">
      <c r="A666" s="6" t="s">
        <v>3073</v>
      </c>
      <c r="B666" s="6" t="s">
        <v>2980</v>
      </c>
      <c r="C666" s="6" t="s">
        <v>2981</v>
      </c>
      <c r="D666" s="6" t="s">
        <v>1303</v>
      </c>
      <c r="E666" s="6" t="s">
        <v>1304</v>
      </c>
      <c r="F666" s="6" t="s">
        <v>3095</v>
      </c>
      <c r="G666" s="6" t="s">
        <v>1306</v>
      </c>
    </row>
    <row r="667" spans="1:7" ht="69.95" customHeight="1">
      <c r="A667" s="6" t="s">
        <v>3073</v>
      </c>
      <c r="B667" s="6" t="s">
        <v>2983</v>
      </c>
      <c r="C667" s="6" t="s">
        <v>2984</v>
      </c>
      <c r="D667" s="6" t="s">
        <v>1303</v>
      </c>
      <c r="E667" s="6" t="s">
        <v>1304</v>
      </c>
      <c r="F667" s="6" t="s">
        <v>3096</v>
      </c>
      <c r="G667" s="6" t="s">
        <v>1306</v>
      </c>
    </row>
    <row r="668" spans="1:7" ht="69.95" customHeight="1">
      <c r="A668" s="6" t="s">
        <v>3073</v>
      </c>
      <c r="B668" s="6" t="s">
        <v>2986</v>
      </c>
      <c r="C668" s="6" t="s">
        <v>2987</v>
      </c>
      <c r="D668" s="6" t="s">
        <v>1303</v>
      </c>
      <c r="E668" s="6" t="s">
        <v>1304</v>
      </c>
      <c r="F668" s="6" t="s">
        <v>3097</v>
      </c>
      <c r="G668" s="6" t="s">
        <v>1306</v>
      </c>
    </row>
    <row r="669" spans="1:7" ht="69.95" customHeight="1">
      <c r="A669" s="6" t="s">
        <v>3073</v>
      </c>
      <c r="B669" s="6" t="s">
        <v>2989</v>
      </c>
      <c r="C669" s="6" t="s">
        <v>2990</v>
      </c>
      <c r="D669" s="6" t="s">
        <v>1303</v>
      </c>
      <c r="E669" s="6" t="s">
        <v>1304</v>
      </c>
      <c r="F669" s="6" t="s">
        <v>3098</v>
      </c>
      <c r="G669" s="6" t="s">
        <v>1306</v>
      </c>
    </row>
    <row r="670" spans="1:7" ht="69.95" customHeight="1">
      <c r="A670" s="6" t="s">
        <v>3073</v>
      </c>
      <c r="B670" s="6" t="s">
        <v>2992</v>
      </c>
      <c r="C670" s="6" t="s">
        <v>2993</v>
      </c>
      <c r="D670" s="6" t="s">
        <v>1303</v>
      </c>
      <c r="E670" s="6" t="s">
        <v>1304</v>
      </c>
      <c r="F670" s="6" t="s">
        <v>3099</v>
      </c>
      <c r="G670" s="6" t="s">
        <v>1306</v>
      </c>
    </row>
    <row r="671" spans="1:7" ht="69.95" customHeight="1">
      <c r="A671" s="6" t="s">
        <v>3073</v>
      </c>
      <c r="B671" s="6" t="s">
        <v>2995</v>
      </c>
      <c r="C671" s="6" t="s">
        <v>2996</v>
      </c>
      <c r="D671" s="6" t="s">
        <v>1303</v>
      </c>
      <c r="E671" s="6" t="s">
        <v>1304</v>
      </c>
      <c r="F671" s="6" t="s">
        <v>3100</v>
      </c>
      <c r="G671" s="6" t="s">
        <v>1306</v>
      </c>
    </row>
    <row r="672" spans="1:7" ht="69.95" customHeight="1">
      <c r="A672" s="6" t="s">
        <v>3073</v>
      </c>
      <c r="B672" s="6" t="s">
        <v>2998</v>
      </c>
      <c r="C672" s="6" t="s">
        <v>2999</v>
      </c>
      <c r="D672" s="6" t="s">
        <v>1303</v>
      </c>
      <c r="E672" s="6" t="s">
        <v>1304</v>
      </c>
      <c r="F672" s="6" t="s">
        <v>3101</v>
      </c>
      <c r="G672" s="6" t="s">
        <v>1306</v>
      </c>
    </row>
    <row r="673" spans="1:7" ht="69.95" customHeight="1">
      <c r="A673" s="6" t="s">
        <v>3073</v>
      </c>
      <c r="B673" s="6" t="s">
        <v>3001</v>
      </c>
      <c r="C673" s="6" t="s">
        <v>3002</v>
      </c>
      <c r="D673" s="6" t="s">
        <v>1303</v>
      </c>
      <c r="E673" s="6" t="s">
        <v>1304</v>
      </c>
      <c r="F673" s="6" t="s">
        <v>3102</v>
      </c>
      <c r="G673" s="6" t="s">
        <v>1306</v>
      </c>
    </row>
    <row r="674" spans="1:7" ht="69.95" customHeight="1">
      <c r="A674" s="6" t="s">
        <v>3103</v>
      </c>
      <c r="B674" s="6" t="s">
        <v>1687</v>
      </c>
      <c r="C674" s="6" t="s">
        <v>1465</v>
      </c>
      <c r="D674" s="6" t="s">
        <v>1466</v>
      </c>
      <c r="E674" s="6" t="s">
        <v>1304</v>
      </c>
      <c r="F674" s="6" t="s">
        <v>3104</v>
      </c>
      <c r="G674" s="6" t="s">
        <v>1306</v>
      </c>
    </row>
    <row r="675" spans="1:7" ht="69.95" customHeight="1">
      <c r="A675" s="6" t="s">
        <v>3103</v>
      </c>
      <c r="B675" s="6" t="s">
        <v>2233</v>
      </c>
      <c r="C675" s="6" t="s">
        <v>1465</v>
      </c>
      <c r="D675" s="6" t="s">
        <v>1466</v>
      </c>
      <c r="E675" s="6" t="s">
        <v>1304</v>
      </c>
      <c r="F675" s="6" t="s">
        <v>3105</v>
      </c>
      <c r="G675" s="6" t="s">
        <v>1306</v>
      </c>
    </row>
    <row r="676" spans="1:7" ht="69.95" customHeight="1">
      <c r="A676" s="6" t="s">
        <v>3103</v>
      </c>
      <c r="B676" s="6" t="s">
        <v>2236</v>
      </c>
      <c r="C676" s="6" t="s">
        <v>1465</v>
      </c>
      <c r="D676" s="6" t="s">
        <v>1466</v>
      </c>
      <c r="E676" s="6" t="s">
        <v>1304</v>
      </c>
      <c r="F676" s="6" t="s">
        <v>3106</v>
      </c>
      <c r="G676" s="6" t="s">
        <v>1306</v>
      </c>
    </row>
    <row r="677" spans="1:7" ht="69.95" customHeight="1">
      <c r="A677" s="6" t="s">
        <v>3103</v>
      </c>
      <c r="B677" s="6" t="s">
        <v>2239</v>
      </c>
      <c r="C677" s="6" t="s">
        <v>1465</v>
      </c>
      <c r="D677" s="6" t="s">
        <v>1466</v>
      </c>
      <c r="E677" s="6" t="s">
        <v>1304</v>
      </c>
      <c r="F677" s="6" t="s">
        <v>3107</v>
      </c>
      <c r="G677" s="6" t="s">
        <v>1306</v>
      </c>
    </row>
    <row r="678" spans="1:7" ht="69.95" customHeight="1">
      <c r="A678" s="6" t="s">
        <v>3103</v>
      </c>
      <c r="B678" s="6" t="s">
        <v>2242</v>
      </c>
      <c r="C678" s="6" t="s">
        <v>1465</v>
      </c>
      <c r="D678" s="6" t="s">
        <v>1466</v>
      </c>
      <c r="E678" s="6" t="s">
        <v>1304</v>
      </c>
      <c r="F678" s="6" t="s">
        <v>3108</v>
      </c>
      <c r="G678" s="6" t="s">
        <v>1306</v>
      </c>
    </row>
    <row r="679" spans="1:7" ht="69.95" customHeight="1">
      <c r="A679" s="6" t="s">
        <v>3103</v>
      </c>
      <c r="B679" s="6" t="s">
        <v>2245</v>
      </c>
      <c r="C679" s="6" t="s">
        <v>1465</v>
      </c>
      <c r="D679" s="6" t="s">
        <v>1466</v>
      </c>
      <c r="E679" s="6" t="s">
        <v>1304</v>
      </c>
      <c r="F679" s="6" t="s">
        <v>3109</v>
      </c>
      <c r="G679" s="6" t="s">
        <v>1306</v>
      </c>
    </row>
    <row r="680" spans="1:7" ht="69.95" customHeight="1">
      <c r="A680" s="6" t="s">
        <v>3103</v>
      </c>
      <c r="B680" s="6" t="s">
        <v>2248</v>
      </c>
      <c r="C680" s="6" t="s">
        <v>1465</v>
      </c>
      <c r="D680" s="6" t="s">
        <v>1466</v>
      </c>
      <c r="E680" s="6" t="s">
        <v>1304</v>
      </c>
      <c r="F680" s="6" t="s">
        <v>3110</v>
      </c>
      <c r="G680" s="6" t="s">
        <v>1306</v>
      </c>
    </row>
    <row r="681" spans="1:7" ht="69.95" customHeight="1">
      <c r="A681" s="6" t="s">
        <v>3103</v>
      </c>
      <c r="B681" s="6" t="s">
        <v>1464</v>
      </c>
      <c r="C681" s="6" t="s">
        <v>1465</v>
      </c>
      <c r="D681" s="6" t="s">
        <v>1466</v>
      </c>
      <c r="E681" s="6" t="s">
        <v>1304</v>
      </c>
      <c r="F681" s="6" t="s">
        <v>3111</v>
      </c>
      <c r="G681" s="6" t="s">
        <v>1306</v>
      </c>
    </row>
    <row r="682" spans="1:7" ht="69.95" customHeight="1">
      <c r="A682" s="6" t="s">
        <v>3103</v>
      </c>
      <c r="B682" s="6" t="s">
        <v>1468</v>
      </c>
      <c r="C682" s="6" t="s">
        <v>1465</v>
      </c>
      <c r="D682" s="6" t="s">
        <v>1466</v>
      </c>
      <c r="E682" s="6" t="s">
        <v>1304</v>
      </c>
      <c r="F682" s="6" t="s">
        <v>3112</v>
      </c>
      <c r="G682" s="6" t="s">
        <v>1306</v>
      </c>
    </row>
    <row r="683" spans="1:7" ht="69.95" customHeight="1">
      <c r="A683" s="6" t="s">
        <v>3103</v>
      </c>
      <c r="B683" s="6" t="s">
        <v>1470</v>
      </c>
      <c r="C683" s="6" t="s">
        <v>1465</v>
      </c>
      <c r="D683" s="6" t="s">
        <v>1466</v>
      </c>
      <c r="E683" s="6" t="s">
        <v>1304</v>
      </c>
      <c r="F683" s="6" t="s">
        <v>3113</v>
      </c>
      <c r="G683" s="6" t="s">
        <v>1306</v>
      </c>
    </row>
    <row r="684" spans="1:7" ht="69.95" customHeight="1">
      <c r="A684" s="6" t="s">
        <v>3103</v>
      </c>
      <c r="B684" s="6" t="s">
        <v>1472</v>
      </c>
      <c r="C684" s="6" t="s">
        <v>1465</v>
      </c>
      <c r="D684" s="6" t="s">
        <v>1466</v>
      </c>
      <c r="E684" s="6" t="s">
        <v>1304</v>
      </c>
      <c r="F684" s="6" t="s">
        <v>3114</v>
      </c>
      <c r="G684" s="6" t="s">
        <v>1306</v>
      </c>
    </row>
    <row r="685" spans="1:7" ht="69.95" customHeight="1">
      <c r="A685" s="6" t="s">
        <v>3103</v>
      </c>
      <c r="B685" s="6" t="s">
        <v>1693</v>
      </c>
      <c r="C685" s="6" t="s">
        <v>1465</v>
      </c>
      <c r="D685" s="6" t="s">
        <v>1466</v>
      </c>
      <c r="E685" s="6" t="s">
        <v>1304</v>
      </c>
      <c r="F685" s="6" t="s">
        <v>3115</v>
      </c>
      <c r="G685" s="6" t="s">
        <v>1306</v>
      </c>
    </row>
    <row r="686" spans="1:7" ht="69.95" customHeight="1">
      <c r="A686" s="6" t="s">
        <v>3103</v>
      </c>
      <c r="B686" s="6" t="s">
        <v>3116</v>
      </c>
      <c r="C686" s="6" t="s">
        <v>1465</v>
      </c>
      <c r="D686" s="6" t="s">
        <v>1466</v>
      </c>
      <c r="E686" s="6" t="s">
        <v>1304</v>
      </c>
      <c r="F686" s="6" t="s">
        <v>3117</v>
      </c>
      <c r="G686" s="6" t="s">
        <v>1306</v>
      </c>
    </row>
    <row r="687" spans="1:7" ht="69.95" customHeight="1">
      <c r="A687" s="6" t="s">
        <v>3103</v>
      </c>
      <c r="B687" s="6" t="s">
        <v>1697</v>
      </c>
      <c r="C687" s="6" t="s">
        <v>1465</v>
      </c>
      <c r="D687" s="6" t="s">
        <v>1466</v>
      </c>
      <c r="E687" s="6" t="s">
        <v>1304</v>
      </c>
      <c r="F687" s="6" t="s">
        <v>3118</v>
      </c>
      <c r="G687" s="6" t="s">
        <v>1306</v>
      </c>
    </row>
    <row r="688" spans="1:7" ht="69.95" customHeight="1">
      <c r="A688" s="6" t="s">
        <v>3103</v>
      </c>
      <c r="B688" s="6" t="s">
        <v>2266</v>
      </c>
      <c r="C688" s="6" t="s">
        <v>1465</v>
      </c>
      <c r="D688" s="6" t="s">
        <v>1466</v>
      </c>
      <c r="E688" s="6" t="s">
        <v>1304</v>
      </c>
      <c r="F688" s="6" t="s">
        <v>3119</v>
      </c>
      <c r="G688" s="6" t="s">
        <v>1306</v>
      </c>
    </row>
    <row r="689" spans="1:7" ht="69.95" customHeight="1">
      <c r="A689" s="6" t="s">
        <v>3103</v>
      </c>
      <c r="B689" s="6" t="s">
        <v>1474</v>
      </c>
      <c r="C689" s="6" t="s">
        <v>1465</v>
      </c>
      <c r="D689" s="6" t="s">
        <v>1466</v>
      </c>
      <c r="E689" s="6" t="s">
        <v>1304</v>
      </c>
      <c r="F689" s="6" t="s">
        <v>3120</v>
      </c>
      <c r="G689" s="6" t="s">
        <v>1306</v>
      </c>
    </row>
    <row r="690" spans="1:7" ht="69.95" customHeight="1">
      <c r="A690" s="6" t="s">
        <v>3103</v>
      </c>
      <c r="B690" s="6" t="s">
        <v>1476</v>
      </c>
      <c r="C690" s="6" t="s">
        <v>1465</v>
      </c>
      <c r="D690" s="6" t="s">
        <v>1466</v>
      </c>
      <c r="E690" s="6" t="s">
        <v>1304</v>
      </c>
      <c r="F690" s="6" t="s">
        <v>3121</v>
      </c>
      <c r="G690" s="6" t="s">
        <v>1306</v>
      </c>
    </row>
    <row r="691" spans="1:7" ht="69.95" customHeight="1">
      <c r="A691" s="6" t="s">
        <v>3103</v>
      </c>
      <c r="B691" s="6" t="s">
        <v>1478</v>
      </c>
      <c r="C691" s="6" t="s">
        <v>1465</v>
      </c>
      <c r="D691" s="6" t="s">
        <v>1466</v>
      </c>
      <c r="E691" s="6" t="s">
        <v>1304</v>
      </c>
      <c r="F691" s="6" t="s">
        <v>3122</v>
      </c>
      <c r="G691" s="6" t="s">
        <v>1306</v>
      </c>
    </row>
    <row r="692" spans="1:7" ht="69.95" customHeight="1">
      <c r="A692" s="6" t="s">
        <v>3103</v>
      </c>
      <c r="B692" s="6" t="s">
        <v>1480</v>
      </c>
      <c r="C692" s="6" t="s">
        <v>1465</v>
      </c>
      <c r="D692" s="6" t="s">
        <v>1466</v>
      </c>
      <c r="E692" s="6" t="s">
        <v>1304</v>
      </c>
      <c r="F692" s="6" t="s">
        <v>3123</v>
      </c>
      <c r="G692" s="6" t="s">
        <v>1306</v>
      </c>
    </row>
    <row r="693" spans="1:7" ht="69.95" customHeight="1">
      <c r="A693" s="6" t="s">
        <v>3103</v>
      </c>
      <c r="B693" s="6" t="s">
        <v>1482</v>
      </c>
      <c r="C693" s="6" t="s">
        <v>1465</v>
      </c>
      <c r="D693" s="6" t="s">
        <v>1466</v>
      </c>
      <c r="E693" s="6" t="s">
        <v>1304</v>
      </c>
      <c r="F693" s="6" t="s">
        <v>3124</v>
      </c>
      <c r="G693" s="6" t="s">
        <v>1306</v>
      </c>
    </row>
    <row r="694" spans="1:7" ht="69.95" customHeight="1">
      <c r="A694" s="6" t="s">
        <v>3125</v>
      </c>
      <c r="B694" s="6" t="s">
        <v>3126</v>
      </c>
      <c r="C694" s="6" t="s">
        <v>3127</v>
      </c>
      <c r="D694" s="6" t="s">
        <v>1303</v>
      </c>
      <c r="E694" s="6" t="s">
        <v>1304</v>
      </c>
      <c r="F694" s="6" t="s">
        <v>3128</v>
      </c>
      <c r="G694" s="6" t="s">
        <v>1306</v>
      </c>
    </row>
    <row r="695" spans="1:7" ht="69.95" customHeight="1">
      <c r="A695" s="6" t="s">
        <v>3125</v>
      </c>
      <c r="B695" s="6" t="s">
        <v>3129</v>
      </c>
      <c r="C695" s="6" t="s">
        <v>3130</v>
      </c>
      <c r="D695" s="6" t="s">
        <v>1303</v>
      </c>
      <c r="E695" s="6" t="s">
        <v>1304</v>
      </c>
      <c r="F695" s="6" t="s">
        <v>3131</v>
      </c>
      <c r="G695" s="6" t="s">
        <v>1306</v>
      </c>
    </row>
    <row r="696" spans="1:7" ht="69.95" customHeight="1">
      <c r="A696" s="6" t="s">
        <v>3125</v>
      </c>
      <c r="B696" s="6" t="s">
        <v>3132</v>
      </c>
      <c r="C696" s="6" t="s">
        <v>3133</v>
      </c>
      <c r="D696" s="6" t="s">
        <v>1303</v>
      </c>
      <c r="E696" s="6" t="s">
        <v>1304</v>
      </c>
      <c r="F696" s="6" t="s">
        <v>3134</v>
      </c>
      <c r="G696" s="6" t="s">
        <v>1306</v>
      </c>
    </row>
    <row r="697" spans="1:7" ht="69.95" customHeight="1">
      <c r="A697" s="6" t="s">
        <v>3125</v>
      </c>
      <c r="B697" s="6" t="s">
        <v>3135</v>
      </c>
      <c r="C697" s="6" t="s">
        <v>3136</v>
      </c>
      <c r="D697" s="6" t="s">
        <v>1303</v>
      </c>
      <c r="E697" s="6" t="s">
        <v>1304</v>
      </c>
      <c r="F697" s="6" t="s">
        <v>3137</v>
      </c>
      <c r="G697" s="6" t="s">
        <v>1306</v>
      </c>
    </row>
    <row r="698" spans="1:7" ht="69.95" customHeight="1">
      <c r="A698" s="6" t="s">
        <v>3125</v>
      </c>
      <c r="B698" s="6" t="s">
        <v>2980</v>
      </c>
      <c r="C698" s="6" t="s">
        <v>2981</v>
      </c>
      <c r="D698" s="6" t="s">
        <v>1303</v>
      </c>
      <c r="E698" s="6" t="s">
        <v>1304</v>
      </c>
      <c r="F698" s="6" t="s">
        <v>3138</v>
      </c>
      <c r="G698" s="6" t="s">
        <v>1306</v>
      </c>
    </row>
    <row r="699" spans="1:7" ht="69.95" customHeight="1">
      <c r="A699" s="6" t="s">
        <v>3125</v>
      </c>
      <c r="B699" s="6" t="s">
        <v>2983</v>
      </c>
      <c r="C699" s="6" t="s">
        <v>2984</v>
      </c>
      <c r="D699" s="6" t="s">
        <v>1303</v>
      </c>
      <c r="E699" s="6" t="s">
        <v>1304</v>
      </c>
      <c r="F699" s="6" t="s">
        <v>3139</v>
      </c>
      <c r="G699" s="6" t="s">
        <v>1306</v>
      </c>
    </row>
    <row r="700" spans="1:7" ht="69.95" customHeight="1">
      <c r="A700" s="6" t="s">
        <v>3125</v>
      </c>
      <c r="B700" s="6" t="s">
        <v>2986</v>
      </c>
      <c r="C700" s="6" t="s">
        <v>2987</v>
      </c>
      <c r="D700" s="6" t="s">
        <v>1303</v>
      </c>
      <c r="E700" s="6" t="s">
        <v>1304</v>
      </c>
      <c r="F700" s="6" t="s">
        <v>3140</v>
      </c>
      <c r="G700" s="6" t="s">
        <v>1306</v>
      </c>
    </row>
    <row r="701" spans="1:7" ht="69.95" customHeight="1">
      <c r="A701" s="6" t="s">
        <v>3125</v>
      </c>
      <c r="B701" s="6" t="s">
        <v>2989</v>
      </c>
      <c r="C701" s="6" t="s">
        <v>2990</v>
      </c>
      <c r="D701" s="6" t="s">
        <v>1303</v>
      </c>
      <c r="E701" s="6" t="s">
        <v>1304</v>
      </c>
      <c r="F701" s="6" t="s">
        <v>3141</v>
      </c>
      <c r="G701" s="6" t="s">
        <v>1306</v>
      </c>
    </row>
    <row r="702" spans="1:7" ht="69.95" customHeight="1">
      <c r="A702" s="6" t="s">
        <v>3125</v>
      </c>
      <c r="B702" s="6" t="s">
        <v>2992</v>
      </c>
      <c r="C702" s="6" t="s">
        <v>2993</v>
      </c>
      <c r="D702" s="6" t="s">
        <v>1303</v>
      </c>
      <c r="E702" s="6" t="s">
        <v>1304</v>
      </c>
      <c r="F702" s="6" t="s">
        <v>3142</v>
      </c>
      <c r="G702" s="6" t="s">
        <v>1306</v>
      </c>
    </row>
    <row r="703" spans="1:7" ht="69.95" customHeight="1">
      <c r="A703" s="6" t="s">
        <v>3125</v>
      </c>
      <c r="B703" s="6" t="s">
        <v>2995</v>
      </c>
      <c r="C703" s="6" t="s">
        <v>2996</v>
      </c>
      <c r="D703" s="6" t="s">
        <v>1303</v>
      </c>
      <c r="E703" s="6" t="s">
        <v>1304</v>
      </c>
      <c r="F703" s="6" t="s">
        <v>3143</v>
      </c>
      <c r="G703" s="6" t="s">
        <v>1306</v>
      </c>
    </row>
    <row r="704" spans="1:7" ht="69.95" customHeight="1">
      <c r="A704" s="6" t="s">
        <v>3125</v>
      </c>
      <c r="B704" s="6" t="s">
        <v>2998</v>
      </c>
      <c r="C704" s="6" t="s">
        <v>2999</v>
      </c>
      <c r="D704" s="6" t="s">
        <v>1303</v>
      </c>
      <c r="E704" s="6" t="s">
        <v>1304</v>
      </c>
      <c r="F704" s="6" t="s">
        <v>3144</v>
      </c>
      <c r="G704" s="6" t="s">
        <v>1306</v>
      </c>
    </row>
    <row r="705" spans="1:7" ht="69.95" customHeight="1">
      <c r="A705" s="6" t="s">
        <v>3125</v>
      </c>
      <c r="B705" s="6" t="s">
        <v>3001</v>
      </c>
      <c r="C705" s="6" t="s">
        <v>3002</v>
      </c>
      <c r="D705" s="6" t="s">
        <v>1303</v>
      </c>
      <c r="E705" s="6" t="s">
        <v>1304</v>
      </c>
      <c r="F705" s="6" t="s">
        <v>3145</v>
      </c>
      <c r="G705" s="6" t="s">
        <v>1306</v>
      </c>
    </row>
    <row r="706" spans="1:7" ht="69.95" customHeight="1">
      <c r="A706" s="6" t="s">
        <v>3146</v>
      </c>
      <c r="B706" s="6" t="s">
        <v>2116</v>
      </c>
      <c r="C706" s="6" t="s">
        <v>2117</v>
      </c>
      <c r="D706" s="6" t="s">
        <v>1466</v>
      </c>
      <c r="E706" s="6" t="s">
        <v>1304</v>
      </c>
      <c r="F706" s="6" t="s">
        <v>3147</v>
      </c>
      <c r="G706" s="6" t="s">
        <v>1306</v>
      </c>
    </row>
    <row r="707" spans="1:7" ht="69.95" customHeight="1">
      <c r="A707" s="6" t="s">
        <v>3146</v>
      </c>
      <c r="B707" s="6" t="s">
        <v>2119</v>
      </c>
      <c r="C707" s="6" t="s">
        <v>2120</v>
      </c>
      <c r="D707" s="6" t="s">
        <v>1466</v>
      </c>
      <c r="E707" s="6" t="s">
        <v>1304</v>
      </c>
      <c r="F707" s="6" t="s">
        <v>3148</v>
      </c>
      <c r="G707" s="6" t="s">
        <v>1306</v>
      </c>
    </row>
    <row r="708" spans="1:7" ht="69.95" customHeight="1">
      <c r="A708" s="6" t="s">
        <v>3146</v>
      </c>
      <c r="B708" s="6" t="s">
        <v>2122</v>
      </c>
      <c r="C708" s="6" t="s">
        <v>2123</v>
      </c>
      <c r="D708" s="6" t="s">
        <v>1466</v>
      </c>
      <c r="E708" s="6" t="s">
        <v>1304</v>
      </c>
      <c r="F708" s="6" t="s">
        <v>3149</v>
      </c>
      <c r="G708" s="6" t="s">
        <v>1306</v>
      </c>
    </row>
    <row r="709" spans="1:7" ht="69.95" customHeight="1">
      <c r="A709" s="6" t="s">
        <v>3146</v>
      </c>
      <c r="B709" s="6" t="s">
        <v>2125</v>
      </c>
      <c r="C709" s="6" t="s">
        <v>2126</v>
      </c>
      <c r="D709" s="6" t="s">
        <v>1466</v>
      </c>
      <c r="E709" s="6" t="s">
        <v>1304</v>
      </c>
      <c r="F709" s="6" t="s">
        <v>3150</v>
      </c>
      <c r="G709" s="6" t="s">
        <v>1306</v>
      </c>
    </row>
    <row r="710" spans="1:7" ht="69.95" customHeight="1">
      <c r="A710" s="6" t="s">
        <v>3146</v>
      </c>
      <c r="B710" s="6" t="s">
        <v>2128</v>
      </c>
      <c r="C710" s="6" t="s">
        <v>2129</v>
      </c>
      <c r="D710" s="6" t="s">
        <v>1466</v>
      </c>
      <c r="E710" s="6" t="s">
        <v>1304</v>
      </c>
      <c r="F710" s="6" t="s">
        <v>3151</v>
      </c>
      <c r="G710" s="6" t="s">
        <v>1306</v>
      </c>
    </row>
    <row r="711" spans="1:7" ht="69.95" customHeight="1">
      <c r="A711" s="6" t="s">
        <v>3146</v>
      </c>
      <c r="B711" s="6" t="s">
        <v>2131</v>
      </c>
      <c r="C711" s="6" t="s">
        <v>2132</v>
      </c>
      <c r="D711" s="6" t="s">
        <v>1466</v>
      </c>
      <c r="E711" s="6" t="s">
        <v>1304</v>
      </c>
      <c r="F711" s="6" t="s">
        <v>3152</v>
      </c>
      <c r="G711" s="6" t="s">
        <v>1306</v>
      </c>
    </row>
    <row r="712" spans="1:7" ht="69.95" customHeight="1">
      <c r="A712" s="6" t="s">
        <v>3146</v>
      </c>
      <c r="B712" s="6" t="s">
        <v>2134</v>
      </c>
      <c r="C712" s="6" t="s">
        <v>2135</v>
      </c>
      <c r="D712" s="6" t="s">
        <v>1466</v>
      </c>
      <c r="E712" s="6" t="s">
        <v>1304</v>
      </c>
      <c r="F712" s="6" t="s">
        <v>3153</v>
      </c>
      <c r="G712" s="6" t="s">
        <v>1306</v>
      </c>
    </row>
    <row r="713" spans="1:7" ht="69.95" customHeight="1">
      <c r="A713" s="6" t="s">
        <v>3146</v>
      </c>
      <c r="B713" s="6" t="s">
        <v>2137</v>
      </c>
      <c r="C713" s="6" t="s">
        <v>2138</v>
      </c>
      <c r="D713" s="6" t="s">
        <v>1466</v>
      </c>
      <c r="E713" s="6" t="s">
        <v>1304</v>
      </c>
      <c r="F713" s="6" t="s">
        <v>3154</v>
      </c>
      <c r="G713" s="6" t="s">
        <v>1306</v>
      </c>
    </row>
    <row r="714" spans="1:7" ht="69.95" customHeight="1">
      <c r="A714" s="6" t="s">
        <v>3146</v>
      </c>
      <c r="B714" s="6" t="s">
        <v>2140</v>
      </c>
      <c r="C714" s="6" t="s">
        <v>2141</v>
      </c>
      <c r="D714" s="6" t="s">
        <v>1466</v>
      </c>
      <c r="E714" s="6" t="s">
        <v>1304</v>
      </c>
      <c r="F714" s="6" t="s">
        <v>3155</v>
      </c>
      <c r="G714" s="6" t="s">
        <v>1306</v>
      </c>
    </row>
    <row r="715" spans="1:7" ht="69.95" customHeight="1">
      <c r="A715" s="6" t="s">
        <v>3146</v>
      </c>
      <c r="B715" s="6" t="s">
        <v>2143</v>
      </c>
      <c r="C715" s="6" t="s">
        <v>2144</v>
      </c>
      <c r="D715" s="6" t="s">
        <v>1466</v>
      </c>
      <c r="E715" s="6" t="s">
        <v>1304</v>
      </c>
      <c r="F715" s="6" t="s">
        <v>3156</v>
      </c>
      <c r="G715" s="6" t="s">
        <v>1306</v>
      </c>
    </row>
    <row r="716" spans="1:7" ht="69.95" customHeight="1">
      <c r="A716" s="6" t="s">
        <v>3146</v>
      </c>
      <c r="B716" s="6" t="s">
        <v>2146</v>
      </c>
      <c r="C716" s="6" t="s">
        <v>2147</v>
      </c>
      <c r="D716" s="6" t="s">
        <v>1466</v>
      </c>
      <c r="E716" s="6" t="s">
        <v>1304</v>
      </c>
      <c r="F716" s="6" t="s">
        <v>3157</v>
      </c>
      <c r="G716" s="6" t="s">
        <v>1306</v>
      </c>
    </row>
    <row r="717" spans="1:7" ht="69.95" customHeight="1">
      <c r="A717" s="6" t="s">
        <v>3146</v>
      </c>
      <c r="B717" s="6" t="s">
        <v>2149</v>
      </c>
      <c r="C717" s="6" t="s">
        <v>2150</v>
      </c>
      <c r="D717" s="6" t="s">
        <v>1466</v>
      </c>
      <c r="E717" s="6" t="s">
        <v>1304</v>
      </c>
      <c r="F717" s="6" t="s">
        <v>3158</v>
      </c>
      <c r="G717" s="6" t="s">
        <v>1306</v>
      </c>
    </row>
    <row r="718" spans="1:7" ht="69.95" customHeight="1">
      <c r="A718" s="6" t="s">
        <v>3159</v>
      </c>
      <c r="B718" s="6" t="s">
        <v>3160</v>
      </c>
      <c r="C718" s="6" t="s">
        <v>3161</v>
      </c>
      <c r="D718" s="6" t="s">
        <v>1466</v>
      </c>
      <c r="E718" s="6" t="s">
        <v>1304</v>
      </c>
      <c r="F718" s="6" t="s">
        <v>3162</v>
      </c>
      <c r="G718" s="6" t="s">
        <v>1306</v>
      </c>
    </row>
    <row r="719" spans="1:7" ht="69.95" customHeight="1">
      <c r="A719" s="6" t="s">
        <v>3159</v>
      </c>
      <c r="B719" s="6" t="s">
        <v>3163</v>
      </c>
      <c r="C719" s="6" t="s">
        <v>3164</v>
      </c>
      <c r="D719" s="6" t="s">
        <v>1466</v>
      </c>
      <c r="E719" s="6" t="s">
        <v>1304</v>
      </c>
      <c r="F719" s="6" t="s">
        <v>3165</v>
      </c>
      <c r="G719" s="6" t="s">
        <v>1306</v>
      </c>
    </row>
    <row r="720" spans="1:7" ht="69.95" customHeight="1">
      <c r="A720" s="6" t="s">
        <v>3159</v>
      </c>
      <c r="B720" s="6" t="s">
        <v>3166</v>
      </c>
      <c r="C720" s="6" t="s">
        <v>3167</v>
      </c>
      <c r="D720" s="6" t="s">
        <v>1466</v>
      </c>
      <c r="E720" s="6" t="s">
        <v>1304</v>
      </c>
      <c r="F720" s="6" t="s">
        <v>3168</v>
      </c>
      <c r="G720" s="6" t="s">
        <v>1306</v>
      </c>
    </row>
    <row r="721" spans="1:7" ht="69.95" customHeight="1">
      <c r="A721" s="6" t="s">
        <v>3159</v>
      </c>
      <c r="B721" s="6" t="s">
        <v>3169</v>
      </c>
      <c r="C721" s="6" t="s">
        <v>3170</v>
      </c>
      <c r="D721" s="6" t="s">
        <v>1466</v>
      </c>
      <c r="E721" s="6" t="s">
        <v>1304</v>
      </c>
      <c r="F721" s="6" t="s">
        <v>3171</v>
      </c>
      <c r="G721" s="6" t="s">
        <v>1306</v>
      </c>
    </row>
    <row r="722" spans="1:7" ht="69.95" customHeight="1">
      <c r="A722" s="6" t="s">
        <v>3159</v>
      </c>
      <c r="B722" s="6" t="s">
        <v>3172</v>
      </c>
      <c r="C722" s="6" t="s">
        <v>3173</v>
      </c>
      <c r="D722" s="6" t="s">
        <v>1466</v>
      </c>
      <c r="E722" s="6" t="s">
        <v>1304</v>
      </c>
      <c r="F722" s="6" t="s">
        <v>3174</v>
      </c>
      <c r="G722" s="6" t="s">
        <v>1306</v>
      </c>
    </row>
    <row r="723" spans="1:7" ht="69.95" customHeight="1">
      <c r="A723" s="6" t="s">
        <v>3159</v>
      </c>
      <c r="B723" s="6" t="s">
        <v>3175</v>
      </c>
      <c r="C723" s="6" t="s">
        <v>3176</v>
      </c>
      <c r="D723" s="6" t="s">
        <v>1466</v>
      </c>
      <c r="E723" s="6" t="s">
        <v>1304</v>
      </c>
      <c r="F723" s="6" t="s">
        <v>3177</v>
      </c>
      <c r="G723" s="6" t="s">
        <v>1306</v>
      </c>
    </row>
    <row r="724" spans="1:7" ht="69.95" customHeight="1">
      <c r="A724" s="6" t="s">
        <v>3159</v>
      </c>
      <c r="B724" s="6" t="s">
        <v>2153</v>
      </c>
      <c r="C724" s="6" t="s">
        <v>3178</v>
      </c>
      <c r="D724" s="6" t="s">
        <v>1466</v>
      </c>
      <c r="E724" s="6" t="s">
        <v>1304</v>
      </c>
      <c r="F724" s="6" t="s">
        <v>3179</v>
      </c>
      <c r="G724" s="6" t="s">
        <v>1306</v>
      </c>
    </row>
    <row r="725" spans="1:7" ht="69.95" customHeight="1">
      <c r="A725" s="6" t="s">
        <v>3159</v>
      </c>
      <c r="B725" s="6" t="s">
        <v>2156</v>
      </c>
      <c r="C725" s="6" t="s">
        <v>2157</v>
      </c>
      <c r="D725" s="6" t="s">
        <v>1466</v>
      </c>
      <c r="E725" s="6" t="s">
        <v>1304</v>
      </c>
      <c r="F725" s="6" t="s">
        <v>3180</v>
      </c>
      <c r="G725" s="6" t="s">
        <v>1306</v>
      </c>
    </row>
    <row r="726" spans="1:7" ht="69.95" customHeight="1">
      <c r="A726" s="6" t="s">
        <v>3159</v>
      </c>
      <c r="B726" s="6" t="s">
        <v>2159</v>
      </c>
      <c r="C726" s="6" t="s">
        <v>2160</v>
      </c>
      <c r="D726" s="6" t="s">
        <v>1466</v>
      </c>
      <c r="E726" s="6" t="s">
        <v>1304</v>
      </c>
      <c r="F726" s="6" t="s">
        <v>3181</v>
      </c>
      <c r="G726" s="6" t="s">
        <v>1306</v>
      </c>
    </row>
    <row r="727" spans="1:7" ht="69.95" customHeight="1">
      <c r="A727" s="6" t="s">
        <v>3159</v>
      </c>
      <c r="B727" s="6" t="s">
        <v>2162</v>
      </c>
      <c r="C727" s="6" t="s">
        <v>3182</v>
      </c>
      <c r="D727" s="6" t="s">
        <v>1466</v>
      </c>
      <c r="E727" s="6" t="s">
        <v>1304</v>
      </c>
      <c r="F727" s="6" t="s">
        <v>3183</v>
      </c>
      <c r="G727" s="6" t="s">
        <v>1306</v>
      </c>
    </row>
    <row r="728" spans="1:7" ht="69.95" customHeight="1">
      <c r="A728" s="6" t="s">
        <v>3159</v>
      </c>
      <c r="B728" s="6" t="s">
        <v>2165</v>
      </c>
      <c r="C728" s="6" t="s">
        <v>2166</v>
      </c>
      <c r="D728" s="6" t="s">
        <v>1466</v>
      </c>
      <c r="E728" s="6" t="s">
        <v>1304</v>
      </c>
      <c r="F728" s="6" t="s">
        <v>3184</v>
      </c>
      <c r="G728" s="6" t="s">
        <v>1306</v>
      </c>
    </row>
    <row r="729" spans="1:7" ht="69.95" customHeight="1">
      <c r="A729" s="6" t="s">
        <v>3159</v>
      </c>
      <c r="B729" s="6" t="s">
        <v>2168</v>
      </c>
      <c r="C729" s="6" t="s">
        <v>2169</v>
      </c>
      <c r="D729" s="6" t="s">
        <v>1466</v>
      </c>
      <c r="E729" s="6" t="s">
        <v>1304</v>
      </c>
      <c r="F729" s="6" t="s">
        <v>3185</v>
      </c>
      <c r="G729" s="6" t="s">
        <v>1306</v>
      </c>
    </row>
    <row r="730" spans="1:7" ht="69.95" customHeight="1">
      <c r="A730" s="6" t="s">
        <v>3159</v>
      </c>
      <c r="B730" s="6" t="s">
        <v>2171</v>
      </c>
      <c r="C730" s="6" t="s">
        <v>2172</v>
      </c>
      <c r="D730" s="6" t="s">
        <v>1466</v>
      </c>
      <c r="E730" s="6" t="s">
        <v>1304</v>
      </c>
      <c r="F730" s="6" t="s">
        <v>3186</v>
      </c>
      <c r="G730" s="6" t="s">
        <v>1306</v>
      </c>
    </row>
    <row r="731" spans="1:7" ht="69.95" customHeight="1">
      <c r="A731" s="6" t="s">
        <v>3159</v>
      </c>
      <c r="B731" s="6" t="s">
        <v>2174</v>
      </c>
      <c r="C731" s="6" t="s">
        <v>3187</v>
      </c>
      <c r="D731" s="6" t="s">
        <v>1466</v>
      </c>
      <c r="E731" s="6" t="s">
        <v>1304</v>
      </c>
      <c r="F731" s="6" t="s">
        <v>3188</v>
      </c>
      <c r="G731" s="6" t="s">
        <v>1306</v>
      </c>
    </row>
    <row r="732" spans="1:7" ht="69.95" customHeight="1">
      <c r="A732" s="6" t="s">
        <v>3159</v>
      </c>
      <c r="B732" s="6" t="s">
        <v>2177</v>
      </c>
      <c r="C732" s="6" t="s">
        <v>2178</v>
      </c>
      <c r="D732" s="6" t="s">
        <v>1466</v>
      </c>
      <c r="E732" s="6" t="s">
        <v>1304</v>
      </c>
      <c r="F732" s="6" t="s">
        <v>3189</v>
      </c>
      <c r="G732" s="6" t="s">
        <v>1306</v>
      </c>
    </row>
    <row r="733" spans="1:7" ht="69.95" customHeight="1">
      <c r="A733" s="6" t="s">
        <v>3159</v>
      </c>
      <c r="B733" s="6" t="s">
        <v>2180</v>
      </c>
      <c r="C733" s="6" t="s">
        <v>2181</v>
      </c>
      <c r="D733" s="6" t="s">
        <v>1466</v>
      </c>
      <c r="E733" s="6" t="s">
        <v>1304</v>
      </c>
      <c r="F733" s="6" t="s">
        <v>3190</v>
      </c>
      <c r="G733" s="6" t="s">
        <v>1306</v>
      </c>
    </row>
    <row r="734" spans="1:7" ht="69.95" customHeight="1">
      <c r="A734" s="6" t="s">
        <v>3159</v>
      </c>
      <c r="B734" s="6" t="s">
        <v>2183</v>
      </c>
      <c r="C734" s="6" t="s">
        <v>2184</v>
      </c>
      <c r="D734" s="6" t="s">
        <v>1466</v>
      </c>
      <c r="E734" s="6" t="s">
        <v>1304</v>
      </c>
      <c r="F734" s="6" t="s">
        <v>3191</v>
      </c>
      <c r="G734" s="6" t="s">
        <v>1306</v>
      </c>
    </row>
    <row r="735" spans="1:7" ht="69.95" customHeight="1">
      <c r="A735" s="6" t="s">
        <v>3159</v>
      </c>
      <c r="B735" s="6" t="s">
        <v>2186</v>
      </c>
      <c r="C735" s="6" t="s">
        <v>2187</v>
      </c>
      <c r="D735" s="6" t="s">
        <v>1466</v>
      </c>
      <c r="E735" s="6" t="s">
        <v>1304</v>
      </c>
      <c r="F735" s="6" t="s">
        <v>3192</v>
      </c>
      <c r="G735" s="6" t="s">
        <v>1306</v>
      </c>
    </row>
    <row r="736" spans="1:7" ht="69.95" customHeight="1">
      <c r="A736" s="6" t="s">
        <v>3159</v>
      </c>
      <c r="B736" s="6" t="s">
        <v>2189</v>
      </c>
      <c r="C736" s="6" t="s">
        <v>2190</v>
      </c>
      <c r="D736" s="6" t="s">
        <v>1466</v>
      </c>
      <c r="E736" s="6" t="s">
        <v>1304</v>
      </c>
      <c r="F736" s="6" t="s">
        <v>3193</v>
      </c>
      <c r="G736" s="6" t="s">
        <v>1306</v>
      </c>
    </row>
    <row r="737" spans="1:7" ht="69.95" customHeight="1">
      <c r="A737" s="6" t="s">
        <v>3159</v>
      </c>
      <c r="B737" s="6" t="s">
        <v>2192</v>
      </c>
      <c r="C737" s="6" t="s">
        <v>2193</v>
      </c>
      <c r="D737" s="6" t="s">
        <v>1466</v>
      </c>
      <c r="E737" s="6" t="s">
        <v>1304</v>
      </c>
      <c r="F737" s="6" t="s">
        <v>3194</v>
      </c>
      <c r="G737" s="6" t="s">
        <v>1306</v>
      </c>
    </row>
    <row r="738" spans="1:7" ht="69.95" customHeight="1">
      <c r="A738" s="6" t="s">
        <v>3159</v>
      </c>
      <c r="B738" s="6" t="s">
        <v>2195</v>
      </c>
      <c r="C738" s="6" t="s">
        <v>2196</v>
      </c>
      <c r="D738" s="6" t="s">
        <v>1466</v>
      </c>
      <c r="E738" s="6" t="s">
        <v>1304</v>
      </c>
      <c r="F738" s="6" t="s">
        <v>3195</v>
      </c>
      <c r="G738" s="6" t="s">
        <v>1306</v>
      </c>
    </row>
    <row r="739" spans="1:7" ht="69.95" customHeight="1">
      <c r="A739" s="6" t="s">
        <v>3159</v>
      </c>
      <c r="B739" s="6" t="s">
        <v>2198</v>
      </c>
      <c r="C739" s="6" t="s">
        <v>2199</v>
      </c>
      <c r="D739" s="6" t="s">
        <v>1466</v>
      </c>
      <c r="E739" s="6" t="s">
        <v>1304</v>
      </c>
      <c r="F739" s="6" t="s">
        <v>3196</v>
      </c>
      <c r="G739" s="6" t="s">
        <v>1306</v>
      </c>
    </row>
    <row r="740" spans="1:7" ht="69.95" customHeight="1">
      <c r="A740" s="6" t="s">
        <v>3159</v>
      </c>
      <c r="B740" s="6" t="s">
        <v>2201</v>
      </c>
      <c r="C740" s="6" t="s">
        <v>2202</v>
      </c>
      <c r="D740" s="6" t="s">
        <v>1466</v>
      </c>
      <c r="E740" s="6" t="s">
        <v>1304</v>
      </c>
      <c r="F740" s="6" t="s">
        <v>3197</v>
      </c>
      <c r="G740" s="6" t="s">
        <v>1306</v>
      </c>
    </row>
    <row r="741" spans="1:7" ht="69.95" customHeight="1">
      <c r="A741" s="6" t="s">
        <v>3159</v>
      </c>
      <c r="B741" s="6" t="s">
        <v>2204</v>
      </c>
      <c r="C741" s="6" t="s">
        <v>2205</v>
      </c>
      <c r="D741" s="6" t="s">
        <v>1466</v>
      </c>
      <c r="E741" s="6" t="s">
        <v>1304</v>
      </c>
      <c r="F741" s="6" t="s">
        <v>3198</v>
      </c>
      <c r="G741" s="6" t="s">
        <v>1306</v>
      </c>
    </row>
    <row r="742" spans="1:7" ht="69.95" customHeight="1">
      <c r="A742" s="6" t="s">
        <v>3159</v>
      </c>
      <c r="B742" s="6" t="s">
        <v>2207</v>
      </c>
      <c r="C742" s="6" t="s">
        <v>2208</v>
      </c>
      <c r="D742" s="6" t="s">
        <v>1466</v>
      </c>
      <c r="E742" s="6" t="s">
        <v>1304</v>
      </c>
      <c r="F742" s="6" t="s">
        <v>3199</v>
      </c>
      <c r="G742" s="6" t="s">
        <v>1306</v>
      </c>
    </row>
    <row r="743" spans="1:7" ht="69.95" customHeight="1">
      <c r="A743" s="6" t="s">
        <v>3159</v>
      </c>
      <c r="B743" s="6" t="s">
        <v>2210</v>
      </c>
      <c r="C743" s="6" t="s">
        <v>2211</v>
      </c>
      <c r="D743" s="6" t="s">
        <v>1466</v>
      </c>
      <c r="E743" s="6" t="s">
        <v>1304</v>
      </c>
      <c r="F743" s="6" t="s">
        <v>3200</v>
      </c>
      <c r="G743" s="6" t="s">
        <v>1306</v>
      </c>
    </row>
    <row r="744" spans="1:7" ht="69.95" customHeight="1">
      <c r="A744" s="6" t="s">
        <v>3159</v>
      </c>
      <c r="B744" s="6" t="s">
        <v>2213</v>
      </c>
      <c r="C744" s="6" t="s">
        <v>2214</v>
      </c>
      <c r="D744" s="6" t="s">
        <v>1466</v>
      </c>
      <c r="E744" s="6" t="s">
        <v>1304</v>
      </c>
      <c r="F744" s="6" t="s">
        <v>3201</v>
      </c>
      <c r="G744" s="6" t="s">
        <v>1306</v>
      </c>
    </row>
    <row r="745" spans="1:7" ht="69.95" customHeight="1">
      <c r="A745" s="6" t="s">
        <v>3159</v>
      </c>
      <c r="B745" s="6" t="s">
        <v>2216</v>
      </c>
      <c r="C745" s="6" t="s">
        <v>2217</v>
      </c>
      <c r="D745" s="6" t="s">
        <v>1466</v>
      </c>
      <c r="E745" s="6" t="s">
        <v>1304</v>
      </c>
      <c r="F745" s="6" t="s">
        <v>3202</v>
      </c>
      <c r="G745" s="6" t="s">
        <v>1306</v>
      </c>
    </row>
    <row r="746" spans="1:7" ht="69.95" customHeight="1">
      <c r="A746" s="6" t="s">
        <v>3159</v>
      </c>
      <c r="B746" s="6" t="s">
        <v>2219</v>
      </c>
      <c r="C746" s="6" t="s">
        <v>2220</v>
      </c>
      <c r="D746" s="6" t="s">
        <v>1466</v>
      </c>
      <c r="E746" s="6" t="s">
        <v>1304</v>
      </c>
      <c r="F746" s="6" t="s">
        <v>3203</v>
      </c>
      <c r="G746" s="6" t="s">
        <v>1306</v>
      </c>
    </row>
    <row r="747" spans="1:7" ht="69.95" customHeight="1">
      <c r="A747" s="6" t="s">
        <v>3159</v>
      </c>
      <c r="B747" s="6" t="s">
        <v>2222</v>
      </c>
      <c r="C747" s="6" t="s">
        <v>2223</v>
      </c>
      <c r="D747" s="6" t="s">
        <v>1466</v>
      </c>
      <c r="E747" s="6" t="s">
        <v>1304</v>
      </c>
      <c r="F747" s="6" t="s">
        <v>3204</v>
      </c>
      <c r="G747" s="6" t="s">
        <v>1306</v>
      </c>
    </row>
    <row r="748" spans="1:7" ht="69.95" customHeight="1">
      <c r="A748" s="6" t="s">
        <v>3159</v>
      </c>
      <c r="B748" s="6" t="s">
        <v>2225</v>
      </c>
      <c r="C748" s="6" t="s">
        <v>2226</v>
      </c>
      <c r="D748" s="6" t="s">
        <v>1466</v>
      </c>
      <c r="E748" s="6" t="s">
        <v>1304</v>
      </c>
      <c r="F748" s="6" t="s">
        <v>3205</v>
      </c>
      <c r="G748" s="6" t="s">
        <v>1306</v>
      </c>
    </row>
    <row r="749" spans="1:7" ht="69.95" customHeight="1">
      <c r="A749" s="6" t="s">
        <v>3159</v>
      </c>
      <c r="B749" s="6" t="s">
        <v>2228</v>
      </c>
      <c r="C749" s="6" t="s">
        <v>2229</v>
      </c>
      <c r="D749" s="6" t="s">
        <v>1466</v>
      </c>
      <c r="E749" s="6" t="s">
        <v>1304</v>
      </c>
      <c r="F749" s="6" t="s">
        <v>3206</v>
      </c>
      <c r="G749" s="6" t="s">
        <v>1306</v>
      </c>
    </row>
    <row r="750" spans="1:7" ht="69.95" customHeight="1">
      <c r="A750" s="6" t="s">
        <v>3159</v>
      </c>
      <c r="B750" s="6" t="s">
        <v>1687</v>
      </c>
      <c r="C750" s="6" t="s">
        <v>2231</v>
      </c>
      <c r="D750" s="6" t="s">
        <v>1466</v>
      </c>
      <c r="E750" s="6" t="s">
        <v>1304</v>
      </c>
      <c r="F750" s="6" t="s">
        <v>3207</v>
      </c>
      <c r="G750" s="6" t="s">
        <v>1306</v>
      </c>
    </row>
    <row r="751" spans="1:7" ht="69.95" customHeight="1">
      <c r="A751" s="6" t="s">
        <v>3159</v>
      </c>
      <c r="B751" s="6" t="s">
        <v>2233</v>
      </c>
      <c r="C751" s="6" t="s">
        <v>2234</v>
      </c>
      <c r="D751" s="6" t="s">
        <v>1466</v>
      </c>
      <c r="E751" s="6" t="s">
        <v>1304</v>
      </c>
      <c r="F751" s="6" t="s">
        <v>3208</v>
      </c>
      <c r="G751" s="6" t="s">
        <v>1306</v>
      </c>
    </row>
    <row r="752" spans="1:7" ht="69.95" customHeight="1">
      <c r="A752" s="6" t="s">
        <v>3159</v>
      </c>
      <c r="B752" s="6" t="s">
        <v>2236</v>
      </c>
      <c r="C752" s="6" t="s">
        <v>2237</v>
      </c>
      <c r="D752" s="6" t="s">
        <v>1466</v>
      </c>
      <c r="E752" s="6" t="s">
        <v>1304</v>
      </c>
      <c r="F752" s="6" t="s">
        <v>3209</v>
      </c>
      <c r="G752" s="6" t="s">
        <v>1306</v>
      </c>
    </row>
    <row r="753" spans="1:7" ht="69.95" customHeight="1">
      <c r="A753" s="6" t="s">
        <v>3159</v>
      </c>
      <c r="B753" s="6" t="s">
        <v>2239</v>
      </c>
      <c r="C753" s="6" t="s">
        <v>2240</v>
      </c>
      <c r="D753" s="6" t="s">
        <v>1466</v>
      </c>
      <c r="E753" s="6" t="s">
        <v>1304</v>
      </c>
      <c r="F753" s="6" t="s">
        <v>3210</v>
      </c>
      <c r="G753" s="6" t="s">
        <v>1306</v>
      </c>
    </row>
    <row r="754" spans="1:7" ht="69.95" customHeight="1">
      <c r="A754" s="6" t="s">
        <v>3159</v>
      </c>
      <c r="B754" s="6" t="s">
        <v>2242</v>
      </c>
      <c r="C754" s="6" t="s">
        <v>2243</v>
      </c>
      <c r="D754" s="6" t="s">
        <v>1466</v>
      </c>
      <c r="E754" s="6" t="s">
        <v>1304</v>
      </c>
      <c r="F754" s="6" t="s">
        <v>3211</v>
      </c>
      <c r="G754" s="6" t="s">
        <v>1306</v>
      </c>
    </row>
    <row r="755" spans="1:7" ht="69.95" customHeight="1">
      <c r="A755" s="6" t="s">
        <v>3159</v>
      </c>
      <c r="B755" s="6" t="s">
        <v>2245</v>
      </c>
      <c r="C755" s="6" t="s">
        <v>2246</v>
      </c>
      <c r="D755" s="6" t="s">
        <v>1466</v>
      </c>
      <c r="E755" s="6" t="s">
        <v>1304</v>
      </c>
      <c r="F755" s="6" t="s">
        <v>3212</v>
      </c>
      <c r="G755" s="6" t="s">
        <v>1306</v>
      </c>
    </row>
    <row r="756" spans="1:7" ht="69.95" customHeight="1">
      <c r="A756" s="6" t="s">
        <v>3159</v>
      </c>
      <c r="B756" s="6" t="s">
        <v>2248</v>
      </c>
      <c r="C756" s="6" t="s">
        <v>2249</v>
      </c>
      <c r="D756" s="6" t="s">
        <v>1466</v>
      </c>
      <c r="E756" s="6" t="s">
        <v>1304</v>
      </c>
      <c r="F756" s="6" t="s">
        <v>3213</v>
      </c>
      <c r="G756" s="6" t="s">
        <v>1306</v>
      </c>
    </row>
    <row r="757" spans="1:7" ht="69.95" customHeight="1">
      <c r="A757" s="6" t="s">
        <v>3159</v>
      </c>
      <c r="B757" s="6" t="s">
        <v>1464</v>
      </c>
      <c r="C757" s="6" t="s">
        <v>2251</v>
      </c>
      <c r="D757" s="6" t="s">
        <v>1466</v>
      </c>
      <c r="E757" s="6" t="s">
        <v>1304</v>
      </c>
      <c r="F757" s="6" t="s">
        <v>3214</v>
      </c>
      <c r="G757" s="6" t="s">
        <v>1306</v>
      </c>
    </row>
    <row r="758" spans="1:7" ht="69.95" customHeight="1">
      <c r="A758" s="6" t="s">
        <v>3159</v>
      </c>
      <c r="B758" s="6" t="s">
        <v>1468</v>
      </c>
      <c r="C758" s="6" t="s">
        <v>2253</v>
      </c>
      <c r="D758" s="6" t="s">
        <v>1466</v>
      </c>
      <c r="E758" s="6" t="s">
        <v>1304</v>
      </c>
      <c r="F758" s="6" t="s">
        <v>3215</v>
      </c>
      <c r="G758" s="6" t="s">
        <v>1306</v>
      </c>
    </row>
    <row r="759" spans="1:7" ht="69.95" customHeight="1">
      <c r="A759" s="6" t="s">
        <v>3159</v>
      </c>
      <c r="B759" s="6" t="s">
        <v>1470</v>
      </c>
      <c r="C759" s="6" t="s">
        <v>2255</v>
      </c>
      <c r="D759" s="6" t="s">
        <v>1466</v>
      </c>
      <c r="E759" s="6" t="s">
        <v>1304</v>
      </c>
      <c r="F759" s="6" t="s">
        <v>3216</v>
      </c>
      <c r="G759" s="6" t="s">
        <v>1306</v>
      </c>
    </row>
    <row r="760" spans="1:7" ht="69.95" customHeight="1">
      <c r="A760" s="6" t="s">
        <v>3159</v>
      </c>
      <c r="B760" s="6" t="s">
        <v>1472</v>
      </c>
      <c r="C760" s="6" t="s">
        <v>2257</v>
      </c>
      <c r="D760" s="6" t="s">
        <v>1466</v>
      </c>
      <c r="E760" s="6" t="s">
        <v>1304</v>
      </c>
      <c r="F760" s="6" t="s">
        <v>3217</v>
      </c>
      <c r="G760" s="6" t="s">
        <v>1306</v>
      </c>
    </row>
    <row r="761" spans="1:7" ht="69.95" customHeight="1">
      <c r="A761" s="6" t="s">
        <v>3159</v>
      </c>
      <c r="B761" s="6" t="s">
        <v>1693</v>
      </c>
      <c r="C761" s="6" t="s">
        <v>2259</v>
      </c>
      <c r="D761" s="6" t="s">
        <v>1466</v>
      </c>
      <c r="E761" s="6" t="s">
        <v>1304</v>
      </c>
      <c r="F761" s="6" t="s">
        <v>3218</v>
      </c>
      <c r="G761" s="6" t="s">
        <v>1306</v>
      </c>
    </row>
    <row r="762" spans="1:7" ht="69.95" customHeight="1">
      <c r="A762" s="6" t="s">
        <v>3159</v>
      </c>
      <c r="B762" s="6" t="s">
        <v>2261</v>
      </c>
      <c r="C762" s="6" t="s">
        <v>2262</v>
      </c>
      <c r="D762" s="6" t="s">
        <v>1466</v>
      </c>
      <c r="E762" s="6" t="s">
        <v>1304</v>
      </c>
      <c r="F762" s="6" t="s">
        <v>3219</v>
      </c>
      <c r="G762" s="6" t="s">
        <v>1306</v>
      </c>
    </row>
    <row r="763" spans="1:7" ht="69.95" customHeight="1">
      <c r="A763" s="6" t="s">
        <v>3159</v>
      </c>
      <c r="B763" s="6" t="s">
        <v>1697</v>
      </c>
      <c r="C763" s="6" t="s">
        <v>2264</v>
      </c>
      <c r="D763" s="6" t="s">
        <v>1466</v>
      </c>
      <c r="E763" s="6" t="s">
        <v>1304</v>
      </c>
      <c r="F763" s="6" t="s">
        <v>3220</v>
      </c>
      <c r="G763" s="6" t="s">
        <v>1306</v>
      </c>
    </row>
    <row r="764" spans="1:7" ht="69.95" customHeight="1">
      <c r="A764" s="6" t="s">
        <v>3159</v>
      </c>
      <c r="B764" s="6" t="s">
        <v>2266</v>
      </c>
      <c r="C764" s="6" t="s">
        <v>2267</v>
      </c>
      <c r="D764" s="6" t="s">
        <v>1466</v>
      </c>
      <c r="E764" s="6" t="s">
        <v>1304</v>
      </c>
      <c r="F764" s="6" t="s">
        <v>3221</v>
      </c>
      <c r="G764" s="6" t="s">
        <v>1306</v>
      </c>
    </row>
    <row r="765" spans="1:7" ht="69.95" customHeight="1">
      <c r="A765" s="6" t="s">
        <v>3222</v>
      </c>
      <c r="B765" s="6" t="s">
        <v>3223</v>
      </c>
      <c r="C765" s="6" t="s">
        <v>3224</v>
      </c>
      <c r="D765" s="6" t="s">
        <v>1466</v>
      </c>
      <c r="E765" s="6" t="s">
        <v>1304</v>
      </c>
      <c r="F765" s="6" t="s">
        <v>3225</v>
      </c>
      <c r="G765" s="6" t="s">
        <v>1306</v>
      </c>
    </row>
    <row r="766" spans="1:7" ht="69.95" customHeight="1">
      <c r="A766" s="6" t="s">
        <v>3226</v>
      </c>
      <c r="B766" s="6" t="s">
        <v>2273</v>
      </c>
      <c r="C766" s="6" t="s">
        <v>3227</v>
      </c>
      <c r="D766" s="6" t="s">
        <v>1303</v>
      </c>
      <c r="E766" s="6" t="s">
        <v>1304</v>
      </c>
      <c r="F766" s="6" t="s">
        <v>3228</v>
      </c>
      <c r="G766" s="6" t="s">
        <v>1306</v>
      </c>
    </row>
    <row r="767" spans="1:7" ht="69.95" customHeight="1">
      <c r="A767" s="6" t="s">
        <v>3226</v>
      </c>
      <c r="B767" s="6" t="s">
        <v>2276</v>
      </c>
      <c r="C767" s="6" t="s">
        <v>3229</v>
      </c>
      <c r="D767" s="6" t="s">
        <v>1303</v>
      </c>
      <c r="E767" s="6" t="s">
        <v>1304</v>
      </c>
      <c r="F767" s="6" t="s">
        <v>3230</v>
      </c>
      <c r="G767" s="6" t="s">
        <v>1306</v>
      </c>
    </row>
    <row r="768" spans="1:7" ht="69.95" customHeight="1">
      <c r="A768" s="6" t="s">
        <v>3226</v>
      </c>
      <c r="B768" s="6" t="s">
        <v>2279</v>
      </c>
      <c r="C768" s="6" t="s">
        <v>3231</v>
      </c>
      <c r="D768" s="6" t="s">
        <v>1303</v>
      </c>
      <c r="E768" s="6" t="s">
        <v>1304</v>
      </c>
      <c r="F768" s="6" t="s">
        <v>3232</v>
      </c>
      <c r="G768" s="6" t="s">
        <v>1306</v>
      </c>
    </row>
    <row r="769" spans="1:7" ht="69.95" customHeight="1">
      <c r="A769" s="6" t="s">
        <v>3226</v>
      </c>
      <c r="B769" s="6" t="s">
        <v>2282</v>
      </c>
      <c r="C769" s="6" t="s">
        <v>3233</v>
      </c>
      <c r="D769" s="6" t="s">
        <v>1303</v>
      </c>
      <c r="E769" s="6" t="s">
        <v>1304</v>
      </c>
      <c r="F769" s="6" t="s">
        <v>3234</v>
      </c>
      <c r="G769" s="6" t="s">
        <v>1306</v>
      </c>
    </row>
    <row r="770" spans="1:7" ht="69.95" customHeight="1">
      <c r="A770" s="6" t="s">
        <v>3226</v>
      </c>
      <c r="B770" s="6" t="s">
        <v>2285</v>
      </c>
      <c r="C770" s="6" t="s">
        <v>3235</v>
      </c>
      <c r="D770" s="6" t="s">
        <v>1303</v>
      </c>
      <c r="E770" s="6" t="s">
        <v>1304</v>
      </c>
      <c r="F770" s="6" t="s">
        <v>3236</v>
      </c>
      <c r="G770" s="6" t="s">
        <v>1306</v>
      </c>
    </row>
    <row r="771" spans="1:7" ht="69.95" customHeight="1">
      <c r="A771" s="6" t="s">
        <v>3226</v>
      </c>
      <c r="B771" s="6" t="s">
        <v>2288</v>
      </c>
      <c r="C771" s="6" t="s">
        <v>3237</v>
      </c>
      <c r="D771" s="6" t="s">
        <v>1303</v>
      </c>
      <c r="E771" s="6" t="s">
        <v>1304</v>
      </c>
      <c r="F771" s="6" t="s">
        <v>3238</v>
      </c>
      <c r="G771" s="6" t="s">
        <v>1306</v>
      </c>
    </row>
    <row r="772" spans="1:7" ht="69.95" customHeight="1">
      <c r="A772" s="6" t="s">
        <v>3226</v>
      </c>
      <c r="B772" s="6" t="s">
        <v>2291</v>
      </c>
      <c r="C772" s="6" t="s">
        <v>3239</v>
      </c>
      <c r="D772" s="6" t="s">
        <v>1303</v>
      </c>
      <c r="E772" s="6" t="s">
        <v>1304</v>
      </c>
      <c r="F772" s="6" t="s">
        <v>3240</v>
      </c>
      <c r="G772" s="6" t="s">
        <v>1306</v>
      </c>
    </row>
    <row r="773" spans="1:7" ht="69.95" customHeight="1">
      <c r="A773" s="6" t="s">
        <v>3226</v>
      </c>
      <c r="B773" s="6" t="s">
        <v>2300</v>
      </c>
      <c r="C773" s="6" t="s">
        <v>2301</v>
      </c>
      <c r="D773" s="6" t="s">
        <v>1303</v>
      </c>
      <c r="E773" s="6" t="s">
        <v>1304</v>
      </c>
      <c r="F773" s="6" t="s">
        <v>3241</v>
      </c>
      <c r="G773" s="6" t="s">
        <v>1306</v>
      </c>
    </row>
    <row r="774" spans="1:7" ht="69.95" customHeight="1">
      <c r="A774" s="6" t="s">
        <v>3226</v>
      </c>
      <c r="B774" s="6" t="s">
        <v>2303</v>
      </c>
      <c r="C774" s="6" t="s">
        <v>3242</v>
      </c>
      <c r="D774" s="6" t="s">
        <v>1303</v>
      </c>
      <c r="E774" s="6" t="s">
        <v>1304</v>
      </c>
      <c r="F774" s="6" t="s">
        <v>3243</v>
      </c>
      <c r="G774" s="6" t="s">
        <v>1306</v>
      </c>
    </row>
    <row r="775" spans="1:7" ht="69.95" customHeight="1">
      <c r="A775" s="6" t="s">
        <v>3226</v>
      </c>
      <c r="B775" s="6" t="s">
        <v>2306</v>
      </c>
      <c r="C775" s="6" t="s">
        <v>3244</v>
      </c>
      <c r="D775" s="6" t="s">
        <v>1303</v>
      </c>
      <c r="E775" s="6" t="s">
        <v>1304</v>
      </c>
      <c r="F775" s="6" t="s">
        <v>3245</v>
      </c>
      <c r="G775" s="6" t="s">
        <v>1306</v>
      </c>
    </row>
    <row r="776" spans="1:7" ht="69.95" customHeight="1">
      <c r="A776" s="6" t="s">
        <v>3226</v>
      </c>
      <c r="B776" s="6" t="s">
        <v>2309</v>
      </c>
      <c r="C776" s="6" t="s">
        <v>2310</v>
      </c>
      <c r="D776" s="6" t="s">
        <v>1303</v>
      </c>
      <c r="E776" s="6" t="s">
        <v>1304</v>
      </c>
      <c r="F776" s="6" t="s">
        <v>3246</v>
      </c>
      <c r="G776" s="6" t="s">
        <v>1306</v>
      </c>
    </row>
    <row r="777" spans="1:7" ht="69.95" customHeight="1">
      <c r="A777" s="6" t="s">
        <v>3226</v>
      </c>
      <c r="B777" s="6" t="s">
        <v>3247</v>
      </c>
      <c r="C777" s="6" t="s">
        <v>3248</v>
      </c>
      <c r="D777" s="6" t="s">
        <v>1303</v>
      </c>
      <c r="E777" s="6" t="s">
        <v>1304</v>
      </c>
      <c r="F777" s="6" t="s">
        <v>3249</v>
      </c>
      <c r="G777" s="6" t="s">
        <v>1306</v>
      </c>
    </row>
    <row r="778" spans="1:7" ht="69.95" customHeight="1">
      <c r="A778" s="6" t="s">
        <v>3226</v>
      </c>
      <c r="B778" s="6" t="s">
        <v>2315</v>
      </c>
      <c r="C778" s="6" t="s">
        <v>3250</v>
      </c>
      <c r="D778" s="6" t="s">
        <v>1303</v>
      </c>
      <c r="E778" s="6" t="s">
        <v>1304</v>
      </c>
      <c r="F778" s="6" t="s">
        <v>3251</v>
      </c>
      <c r="G778" s="6" t="s">
        <v>1306</v>
      </c>
    </row>
    <row r="779" spans="1:7" ht="69.95" customHeight="1">
      <c r="A779" s="6" t="s">
        <v>3226</v>
      </c>
      <c r="B779" s="6" t="s">
        <v>2318</v>
      </c>
      <c r="C779" s="6" t="s">
        <v>3252</v>
      </c>
      <c r="D779" s="6" t="s">
        <v>1303</v>
      </c>
      <c r="E779" s="6" t="s">
        <v>1304</v>
      </c>
      <c r="F779" s="6" t="s">
        <v>3253</v>
      </c>
      <c r="G779" s="6" t="s">
        <v>1306</v>
      </c>
    </row>
    <row r="780" spans="1:7" ht="69.95" customHeight="1">
      <c r="A780" s="6" t="s">
        <v>3226</v>
      </c>
      <c r="B780" s="6" t="s">
        <v>2324</v>
      </c>
      <c r="C780" s="6" t="s">
        <v>3254</v>
      </c>
      <c r="D780" s="6" t="s">
        <v>1303</v>
      </c>
      <c r="E780" s="6" t="s">
        <v>1304</v>
      </c>
      <c r="F780" s="6" t="s">
        <v>3255</v>
      </c>
      <c r="G780" s="6" t="s">
        <v>1306</v>
      </c>
    </row>
    <row r="781" spans="1:7" ht="69.95" customHeight="1">
      <c r="A781" s="6" t="s">
        <v>3226</v>
      </c>
      <c r="B781" s="6" t="s">
        <v>2330</v>
      </c>
      <c r="C781" s="6" t="s">
        <v>3256</v>
      </c>
      <c r="D781" s="6" t="s">
        <v>1303</v>
      </c>
      <c r="E781" s="6" t="s">
        <v>1304</v>
      </c>
      <c r="F781" s="6" t="s">
        <v>3257</v>
      </c>
      <c r="G781" s="6" t="s">
        <v>1306</v>
      </c>
    </row>
    <row r="782" spans="1:7" ht="69.95" customHeight="1">
      <c r="A782" s="6" t="s">
        <v>3226</v>
      </c>
      <c r="B782" s="6" t="s">
        <v>3258</v>
      </c>
      <c r="C782" s="6" t="s">
        <v>3259</v>
      </c>
      <c r="D782" s="6" t="s">
        <v>1303</v>
      </c>
      <c r="E782" s="6" t="s">
        <v>1304</v>
      </c>
      <c r="F782" s="6" t="s">
        <v>3260</v>
      </c>
      <c r="G782" s="6" t="s">
        <v>1306</v>
      </c>
    </row>
    <row r="783" spans="1:7" ht="69.95" customHeight="1">
      <c r="A783" s="6" t="s">
        <v>3226</v>
      </c>
      <c r="B783" s="6" t="s">
        <v>3261</v>
      </c>
      <c r="C783" s="6" t="s">
        <v>3262</v>
      </c>
      <c r="D783" s="6" t="s">
        <v>1303</v>
      </c>
      <c r="E783" s="6" t="s">
        <v>1304</v>
      </c>
      <c r="F783" s="6" t="s">
        <v>3263</v>
      </c>
      <c r="G783" s="6" t="s">
        <v>1306</v>
      </c>
    </row>
    <row r="784" spans="1:7" ht="69.95" customHeight="1">
      <c r="A784" s="6" t="s">
        <v>3226</v>
      </c>
      <c r="B784" s="6" t="s">
        <v>3264</v>
      </c>
      <c r="C784" s="6" t="s">
        <v>3265</v>
      </c>
      <c r="D784" s="6" t="s">
        <v>1303</v>
      </c>
      <c r="E784" s="6" t="s">
        <v>1304</v>
      </c>
      <c r="F784" s="6" t="s">
        <v>3266</v>
      </c>
      <c r="G784" s="6" t="s">
        <v>1306</v>
      </c>
    </row>
    <row r="785" spans="1:7" ht="69.95" customHeight="1">
      <c r="A785" s="6" t="s">
        <v>3267</v>
      </c>
      <c r="B785" s="6" t="s">
        <v>2294</v>
      </c>
      <c r="C785" s="6" t="s">
        <v>3268</v>
      </c>
      <c r="D785" s="6" t="s">
        <v>1303</v>
      </c>
      <c r="E785" s="6" t="s">
        <v>1304</v>
      </c>
      <c r="F785" s="6" t="s">
        <v>3269</v>
      </c>
      <c r="G785" s="6" t="s">
        <v>1306</v>
      </c>
    </row>
    <row r="786" spans="1:7" ht="69.95" customHeight="1">
      <c r="A786" s="6" t="s">
        <v>3267</v>
      </c>
      <c r="B786" s="6" t="s">
        <v>2297</v>
      </c>
      <c r="C786" s="6" t="s">
        <v>3270</v>
      </c>
      <c r="D786" s="6" t="s">
        <v>1303</v>
      </c>
      <c r="E786" s="6" t="s">
        <v>1304</v>
      </c>
      <c r="F786" s="6" t="s">
        <v>3271</v>
      </c>
      <c r="G786" s="6" t="s">
        <v>1306</v>
      </c>
    </row>
    <row r="787" spans="1:7" ht="69.95" customHeight="1">
      <c r="A787" s="6" t="s">
        <v>3272</v>
      </c>
      <c r="B787" s="6" t="s">
        <v>3273</v>
      </c>
      <c r="C787" s="6" t="s">
        <v>3274</v>
      </c>
      <c r="D787" s="6" t="s">
        <v>1303</v>
      </c>
      <c r="E787" s="6" t="s">
        <v>1304</v>
      </c>
      <c r="F787" s="6" t="s">
        <v>3275</v>
      </c>
      <c r="G787" s="6" t="s">
        <v>1306</v>
      </c>
    </row>
    <row r="788" spans="1:7" ht="69.95" customHeight="1">
      <c r="A788" s="6" t="s">
        <v>3272</v>
      </c>
      <c r="B788" s="6" t="s">
        <v>3276</v>
      </c>
      <c r="C788" s="6" t="s">
        <v>3277</v>
      </c>
      <c r="D788" s="6" t="s">
        <v>1303</v>
      </c>
      <c r="E788" s="6" t="s">
        <v>1304</v>
      </c>
      <c r="F788" s="6" t="s">
        <v>3278</v>
      </c>
      <c r="G788" s="6" t="s">
        <v>1306</v>
      </c>
    </row>
    <row r="789" spans="1:7" ht="69.95" customHeight="1">
      <c r="A789" s="6" t="s">
        <v>3279</v>
      </c>
      <c r="B789" s="6" t="s">
        <v>3280</v>
      </c>
      <c r="C789" s="6" t="s">
        <v>3281</v>
      </c>
      <c r="D789" s="6" t="s">
        <v>1303</v>
      </c>
      <c r="E789" s="6" t="s">
        <v>1304</v>
      </c>
      <c r="F789" s="6" t="s">
        <v>3282</v>
      </c>
      <c r="G789" s="6" t="s">
        <v>1306</v>
      </c>
    </row>
    <row r="790" spans="1:7" ht="69.95" customHeight="1">
      <c r="A790" s="6" t="s">
        <v>3279</v>
      </c>
      <c r="B790" s="6" t="s">
        <v>3283</v>
      </c>
      <c r="C790" s="6" t="s">
        <v>3284</v>
      </c>
      <c r="D790" s="6" t="s">
        <v>1303</v>
      </c>
      <c r="E790" s="6" t="s">
        <v>1304</v>
      </c>
      <c r="F790" s="6" t="s">
        <v>3285</v>
      </c>
      <c r="G790" s="6" t="s">
        <v>1306</v>
      </c>
    </row>
    <row r="791" spans="1:7" ht="69.95" customHeight="1">
      <c r="A791" s="6" t="s">
        <v>3279</v>
      </c>
      <c r="B791" s="6" t="s">
        <v>3286</v>
      </c>
      <c r="C791" s="6" t="s">
        <v>3287</v>
      </c>
      <c r="D791" s="6" t="s">
        <v>1303</v>
      </c>
      <c r="E791" s="6" t="s">
        <v>1304</v>
      </c>
      <c r="F791" s="6" t="s">
        <v>3288</v>
      </c>
      <c r="G791" s="6" t="s">
        <v>1306</v>
      </c>
    </row>
    <row r="792" spans="1:7" ht="69.95" customHeight="1">
      <c r="A792" s="6" t="s">
        <v>3279</v>
      </c>
      <c r="B792" s="6" t="s">
        <v>3289</v>
      </c>
      <c r="C792" s="6" t="s">
        <v>3290</v>
      </c>
      <c r="D792" s="6" t="s">
        <v>1303</v>
      </c>
      <c r="E792" s="6" t="s">
        <v>1304</v>
      </c>
      <c r="F792" s="6" t="s">
        <v>3291</v>
      </c>
      <c r="G792" s="6" t="s">
        <v>1306</v>
      </c>
    </row>
    <row r="793" spans="1:7" ht="69.95" customHeight="1">
      <c r="A793" s="6" t="s">
        <v>3279</v>
      </c>
      <c r="B793" s="6" t="s">
        <v>3292</v>
      </c>
      <c r="C793" s="6" t="s">
        <v>3293</v>
      </c>
      <c r="D793" s="6" t="s">
        <v>1303</v>
      </c>
      <c r="E793" s="6" t="s">
        <v>1304</v>
      </c>
      <c r="F793" s="6" t="s">
        <v>3294</v>
      </c>
      <c r="G793" s="6" t="s">
        <v>1306</v>
      </c>
    </row>
    <row r="794" spans="1:7" ht="69.95" customHeight="1">
      <c r="A794" s="6" t="s">
        <v>3279</v>
      </c>
      <c r="B794" s="6" t="s">
        <v>3295</v>
      </c>
      <c r="C794" s="6" t="s">
        <v>3296</v>
      </c>
      <c r="D794" s="6" t="s">
        <v>1303</v>
      </c>
      <c r="E794" s="6" t="s">
        <v>1304</v>
      </c>
      <c r="F794" s="6" t="s">
        <v>3297</v>
      </c>
      <c r="G794" s="6" t="s">
        <v>1306</v>
      </c>
    </row>
    <row r="795" spans="1:7" ht="69.95" customHeight="1">
      <c r="A795" s="6" t="s">
        <v>3279</v>
      </c>
      <c r="B795" s="6" t="s">
        <v>3298</v>
      </c>
      <c r="C795" s="6" t="s">
        <v>3299</v>
      </c>
      <c r="D795" s="6" t="s">
        <v>1303</v>
      </c>
      <c r="E795" s="6" t="s">
        <v>1304</v>
      </c>
      <c r="F795" s="6" t="s">
        <v>3300</v>
      </c>
      <c r="G795" s="6" t="s">
        <v>1306</v>
      </c>
    </row>
    <row r="796" spans="1:7" ht="69.95" customHeight="1">
      <c r="A796" s="6" t="s">
        <v>3279</v>
      </c>
      <c r="B796" s="6" t="s">
        <v>3301</v>
      </c>
      <c r="C796" s="6" t="s">
        <v>3302</v>
      </c>
      <c r="D796" s="6" t="s">
        <v>1303</v>
      </c>
      <c r="E796" s="6" t="s">
        <v>1304</v>
      </c>
      <c r="F796" s="6" t="s">
        <v>3303</v>
      </c>
      <c r="G796" s="6" t="s">
        <v>1306</v>
      </c>
    </row>
    <row r="797" spans="1:7" ht="69.95" customHeight="1">
      <c r="A797" s="6" t="s">
        <v>3279</v>
      </c>
      <c r="B797" s="6" t="s">
        <v>3304</v>
      </c>
      <c r="C797" s="6" t="s">
        <v>3305</v>
      </c>
      <c r="D797" s="6" t="s">
        <v>1303</v>
      </c>
      <c r="E797" s="6" t="s">
        <v>1304</v>
      </c>
      <c r="F797" s="6" t="s">
        <v>3306</v>
      </c>
      <c r="G797" s="6" t="s">
        <v>1306</v>
      </c>
    </row>
    <row r="798" spans="1:7" ht="69.95" customHeight="1">
      <c r="A798" s="6" t="s">
        <v>3279</v>
      </c>
      <c r="B798" s="6" t="s">
        <v>3307</v>
      </c>
      <c r="C798" s="6" t="s">
        <v>3308</v>
      </c>
      <c r="D798" s="6" t="s">
        <v>1303</v>
      </c>
      <c r="E798" s="6" t="s">
        <v>1304</v>
      </c>
      <c r="F798" s="6" t="s">
        <v>3309</v>
      </c>
      <c r="G798" s="6" t="s">
        <v>1306</v>
      </c>
    </row>
    <row r="799" spans="1:7" ht="69.95" customHeight="1">
      <c r="A799" s="6" t="s">
        <v>3279</v>
      </c>
      <c r="B799" s="6" t="s">
        <v>3310</v>
      </c>
      <c r="C799" s="6" t="s">
        <v>3311</v>
      </c>
      <c r="D799" s="6" t="s">
        <v>1303</v>
      </c>
      <c r="E799" s="6" t="s">
        <v>1304</v>
      </c>
      <c r="F799" s="6" t="s">
        <v>3312</v>
      </c>
      <c r="G799" s="6" t="s">
        <v>1306</v>
      </c>
    </row>
    <row r="800" spans="1:7" ht="69.95" customHeight="1">
      <c r="A800" s="6" t="s">
        <v>3313</v>
      </c>
      <c r="B800" s="6" t="s">
        <v>3314</v>
      </c>
      <c r="C800" s="6" t="s">
        <v>3315</v>
      </c>
      <c r="D800" s="6" t="s">
        <v>1303</v>
      </c>
      <c r="E800" s="6" t="s">
        <v>1304</v>
      </c>
      <c r="F800" s="6" t="s">
        <v>3316</v>
      </c>
      <c r="G800" s="6" t="s">
        <v>1306</v>
      </c>
    </row>
    <row r="801" spans="1:7" ht="69.95" customHeight="1">
      <c r="A801" s="6" t="s">
        <v>3317</v>
      </c>
      <c r="B801" s="6" t="s">
        <v>2294</v>
      </c>
      <c r="C801" s="6" t="s">
        <v>3268</v>
      </c>
      <c r="D801" s="6" t="s">
        <v>1303</v>
      </c>
      <c r="E801" s="6" t="s">
        <v>1304</v>
      </c>
      <c r="F801" s="6" t="s">
        <v>3318</v>
      </c>
      <c r="G801" s="6" t="s">
        <v>1306</v>
      </c>
    </row>
    <row r="802" spans="1:7" ht="69.95" customHeight="1">
      <c r="A802" s="6" t="s">
        <v>3317</v>
      </c>
      <c r="B802" s="6" t="s">
        <v>2297</v>
      </c>
      <c r="C802" s="6" t="s">
        <v>3270</v>
      </c>
      <c r="D802" s="6" t="s">
        <v>1303</v>
      </c>
      <c r="E802" s="6" t="s">
        <v>1304</v>
      </c>
      <c r="F802" s="6" t="s">
        <v>3319</v>
      </c>
      <c r="G802" s="6" t="s">
        <v>1306</v>
      </c>
    </row>
    <row r="803" spans="1:7" ht="69.95" customHeight="1">
      <c r="A803" s="6" t="s">
        <v>3320</v>
      </c>
      <c r="B803" s="6" t="s">
        <v>3321</v>
      </c>
      <c r="C803" s="6" t="s">
        <v>3322</v>
      </c>
      <c r="D803" s="6" t="s">
        <v>1303</v>
      </c>
      <c r="E803" s="6" t="s">
        <v>1304</v>
      </c>
      <c r="F803" s="6" t="s">
        <v>3323</v>
      </c>
      <c r="G803" s="6" t="s">
        <v>1306</v>
      </c>
    </row>
    <row r="804" spans="1:7" ht="69.95" customHeight="1">
      <c r="A804" s="6" t="s">
        <v>3324</v>
      </c>
      <c r="B804" s="6" t="s">
        <v>3325</v>
      </c>
      <c r="C804" s="6" t="s">
        <v>3326</v>
      </c>
      <c r="D804" s="6" t="s">
        <v>1303</v>
      </c>
      <c r="E804" s="6" t="s">
        <v>1304</v>
      </c>
      <c r="F804" s="6" t="s">
        <v>3327</v>
      </c>
      <c r="G804" s="6" t="s">
        <v>1306</v>
      </c>
    </row>
    <row r="805" spans="1:7" ht="69.95" customHeight="1">
      <c r="A805" s="6" t="s">
        <v>3324</v>
      </c>
      <c r="B805" s="6" t="s">
        <v>2093</v>
      </c>
      <c r="C805" s="6" t="s">
        <v>3328</v>
      </c>
      <c r="D805" s="6" t="s">
        <v>1303</v>
      </c>
      <c r="E805" s="6" t="s">
        <v>1304</v>
      </c>
      <c r="F805" s="6" t="s">
        <v>3329</v>
      </c>
      <c r="G805" s="6" t="s">
        <v>1306</v>
      </c>
    </row>
    <row r="806" spans="1:7" ht="69.95" customHeight="1">
      <c r="A806" s="6" t="s">
        <v>3324</v>
      </c>
      <c r="B806" s="6" t="s">
        <v>2090</v>
      </c>
      <c r="C806" s="6" t="s">
        <v>3330</v>
      </c>
      <c r="D806" s="6" t="s">
        <v>1303</v>
      </c>
      <c r="E806" s="6" t="s">
        <v>1304</v>
      </c>
      <c r="F806" s="6" t="s">
        <v>3331</v>
      </c>
      <c r="G806" s="6" t="s">
        <v>1306</v>
      </c>
    </row>
    <row r="807" spans="1:7" ht="69.95" customHeight="1">
      <c r="A807" s="6" t="s">
        <v>3324</v>
      </c>
      <c r="B807" s="6" t="s">
        <v>3332</v>
      </c>
      <c r="C807" s="6" t="s">
        <v>3333</v>
      </c>
      <c r="D807" s="6" t="s">
        <v>1303</v>
      </c>
      <c r="E807" s="6" t="s">
        <v>1304</v>
      </c>
      <c r="F807" s="6" t="s">
        <v>3334</v>
      </c>
      <c r="G807" s="6" t="s">
        <v>1306</v>
      </c>
    </row>
    <row r="808" spans="1:7" ht="69.95" customHeight="1">
      <c r="A808" s="6" t="s">
        <v>3324</v>
      </c>
      <c r="B808" s="6" t="s">
        <v>3335</v>
      </c>
      <c r="C808" s="6" t="s">
        <v>3336</v>
      </c>
      <c r="D808" s="6" t="s">
        <v>1303</v>
      </c>
      <c r="E808" s="6" t="s">
        <v>1304</v>
      </c>
      <c r="F808" s="6" t="s">
        <v>3337</v>
      </c>
      <c r="G808" s="6" t="s">
        <v>1306</v>
      </c>
    </row>
    <row r="809" spans="1:7" ht="69.95" customHeight="1">
      <c r="A809" s="6" t="s">
        <v>3324</v>
      </c>
      <c r="B809" s="6" t="s">
        <v>2096</v>
      </c>
      <c r="C809" s="6" t="s">
        <v>3338</v>
      </c>
      <c r="D809" s="6" t="s">
        <v>1303</v>
      </c>
      <c r="E809" s="6" t="s">
        <v>1304</v>
      </c>
      <c r="F809" s="6" t="s">
        <v>3339</v>
      </c>
      <c r="G809" s="6" t="s">
        <v>1306</v>
      </c>
    </row>
    <row r="810" spans="1:7" ht="69.95" customHeight="1">
      <c r="A810" s="6" t="s">
        <v>3324</v>
      </c>
      <c r="B810" s="6" t="s">
        <v>3340</v>
      </c>
      <c r="C810" s="6" t="s">
        <v>3341</v>
      </c>
      <c r="D810" s="6" t="s">
        <v>1303</v>
      </c>
      <c r="E810" s="6" t="s">
        <v>1304</v>
      </c>
      <c r="F810" s="6" t="s">
        <v>3342</v>
      </c>
      <c r="G810" s="6" t="s">
        <v>1306</v>
      </c>
    </row>
    <row r="811" spans="1:7" ht="69.95" customHeight="1">
      <c r="A811" s="6" t="s">
        <v>3324</v>
      </c>
      <c r="B811" s="6" t="s">
        <v>3343</v>
      </c>
      <c r="C811" s="6" t="s">
        <v>3344</v>
      </c>
      <c r="D811" s="6" t="s">
        <v>1303</v>
      </c>
      <c r="E811" s="6" t="s">
        <v>1304</v>
      </c>
      <c r="F811" s="6" t="s">
        <v>3345</v>
      </c>
      <c r="G811" s="6" t="s">
        <v>1306</v>
      </c>
    </row>
    <row r="812" spans="1:7" ht="69.95" customHeight="1">
      <c r="A812" s="6" t="s">
        <v>3324</v>
      </c>
      <c r="B812" s="6" t="s">
        <v>2099</v>
      </c>
      <c r="C812" s="6" t="s">
        <v>3346</v>
      </c>
      <c r="D812" s="6" t="s">
        <v>1303</v>
      </c>
      <c r="E812" s="6" t="s">
        <v>1304</v>
      </c>
      <c r="F812" s="6" t="s">
        <v>3347</v>
      </c>
      <c r="G812" s="6" t="s">
        <v>1306</v>
      </c>
    </row>
    <row r="813" spans="1:7" ht="69.95" customHeight="1">
      <c r="A813" s="6" t="s">
        <v>3324</v>
      </c>
      <c r="B813" s="6" t="s">
        <v>3348</v>
      </c>
      <c r="C813" s="6" t="s">
        <v>3349</v>
      </c>
      <c r="D813" s="6" t="s">
        <v>1303</v>
      </c>
      <c r="E813" s="6" t="s">
        <v>1304</v>
      </c>
      <c r="F813" s="6" t="s">
        <v>3350</v>
      </c>
      <c r="G813" s="6" t="s">
        <v>1306</v>
      </c>
    </row>
    <row r="814" spans="1:7" ht="69.95" customHeight="1">
      <c r="A814" s="6" t="s">
        <v>3351</v>
      </c>
      <c r="B814" s="6" t="s">
        <v>3351</v>
      </c>
      <c r="C814" s="6" t="s">
        <v>3352</v>
      </c>
      <c r="D814" s="6" t="s">
        <v>1303</v>
      </c>
      <c r="E814" s="6" t="s">
        <v>1304</v>
      </c>
      <c r="F814" s="6" t="s">
        <v>3353</v>
      </c>
      <c r="G814" s="6" t="s">
        <v>1306</v>
      </c>
    </row>
    <row r="815" spans="1:7" ht="69.95" customHeight="1">
      <c r="A815" s="6" t="s">
        <v>3351</v>
      </c>
      <c r="B815" s="6" t="s">
        <v>3354</v>
      </c>
      <c r="C815" s="6" t="s">
        <v>3355</v>
      </c>
      <c r="D815" s="6" t="s">
        <v>1303</v>
      </c>
      <c r="E815" s="6" t="s">
        <v>1304</v>
      </c>
      <c r="F815" s="6" t="s">
        <v>3356</v>
      </c>
      <c r="G815" s="6" t="s">
        <v>1306</v>
      </c>
    </row>
    <row r="816" spans="1:7" ht="69.95" customHeight="1">
      <c r="A816" s="6" t="s">
        <v>3351</v>
      </c>
      <c r="B816" s="6" t="s">
        <v>3357</v>
      </c>
      <c r="C816" s="6" t="s">
        <v>3358</v>
      </c>
      <c r="D816" s="6" t="s">
        <v>1303</v>
      </c>
      <c r="E816" s="6" t="s">
        <v>1304</v>
      </c>
      <c r="F816" s="6" t="s">
        <v>3359</v>
      </c>
      <c r="G816" s="6" t="s">
        <v>1306</v>
      </c>
    </row>
    <row r="817" spans="1:7" ht="69.95" customHeight="1">
      <c r="A817" s="6" t="s">
        <v>3351</v>
      </c>
      <c r="B817" s="6" t="s">
        <v>3340</v>
      </c>
      <c r="C817" s="6" t="s">
        <v>3360</v>
      </c>
      <c r="D817" s="6" t="s">
        <v>1303</v>
      </c>
      <c r="E817" s="6" t="s">
        <v>1304</v>
      </c>
      <c r="F817" s="6" t="s">
        <v>3361</v>
      </c>
      <c r="G817" s="6" t="s">
        <v>1306</v>
      </c>
    </row>
    <row r="818" spans="1:7" ht="69.95" customHeight="1">
      <c r="A818" s="6" t="s">
        <v>3351</v>
      </c>
      <c r="B818" s="6" t="s">
        <v>3343</v>
      </c>
      <c r="C818" s="6" t="s">
        <v>3362</v>
      </c>
      <c r="D818" s="6" t="s">
        <v>1303</v>
      </c>
      <c r="E818" s="6" t="s">
        <v>1304</v>
      </c>
      <c r="F818" s="6" t="s">
        <v>3363</v>
      </c>
      <c r="G818" s="6" t="s">
        <v>1306</v>
      </c>
    </row>
    <row r="819" spans="1:7" ht="69.95" customHeight="1">
      <c r="A819" s="6" t="s">
        <v>3351</v>
      </c>
      <c r="B819" s="6" t="s">
        <v>2099</v>
      </c>
      <c r="C819" s="6" t="s">
        <v>3364</v>
      </c>
      <c r="D819" s="6" t="s">
        <v>1303</v>
      </c>
      <c r="E819" s="6" t="s">
        <v>1304</v>
      </c>
      <c r="F819" s="6" t="s">
        <v>3365</v>
      </c>
      <c r="G819" s="6" t="s">
        <v>1306</v>
      </c>
    </row>
    <row r="820" spans="1:7" ht="69.95" customHeight="1">
      <c r="A820" s="6" t="s">
        <v>3351</v>
      </c>
      <c r="B820" s="6" t="s">
        <v>3366</v>
      </c>
      <c r="C820" s="6" t="s">
        <v>3367</v>
      </c>
      <c r="D820" s="6" t="s">
        <v>1303</v>
      </c>
      <c r="E820" s="6" t="s">
        <v>1304</v>
      </c>
      <c r="F820" s="6" t="s">
        <v>3368</v>
      </c>
      <c r="G820" s="6" t="s">
        <v>1306</v>
      </c>
    </row>
    <row r="821" spans="1:7" ht="69.95" customHeight="1">
      <c r="A821" s="6" t="s">
        <v>3369</v>
      </c>
      <c r="B821" s="6" t="s">
        <v>3370</v>
      </c>
      <c r="C821" s="6" t="s">
        <v>3371</v>
      </c>
      <c r="D821" s="6" t="s">
        <v>1303</v>
      </c>
      <c r="E821" s="6" t="s">
        <v>1304</v>
      </c>
      <c r="F821" s="6" t="s">
        <v>3372</v>
      </c>
      <c r="G821" s="6" t="s">
        <v>1306</v>
      </c>
    </row>
    <row r="822" spans="1:7" ht="69.95" customHeight="1">
      <c r="A822" s="6" t="s">
        <v>3369</v>
      </c>
      <c r="B822" s="6" t="s">
        <v>3373</v>
      </c>
      <c r="C822" s="6" t="s">
        <v>3374</v>
      </c>
      <c r="D822" s="6" t="s">
        <v>1303</v>
      </c>
      <c r="E822" s="6" t="s">
        <v>1304</v>
      </c>
      <c r="F822" s="6" t="s">
        <v>3375</v>
      </c>
      <c r="G822" s="6" t="s">
        <v>1306</v>
      </c>
    </row>
    <row r="823" spans="1:7" ht="69.95" customHeight="1">
      <c r="A823" s="6" t="s">
        <v>3369</v>
      </c>
      <c r="B823" s="6" t="s">
        <v>2093</v>
      </c>
      <c r="C823" s="6" t="s">
        <v>3376</v>
      </c>
      <c r="D823" s="6" t="s">
        <v>1303</v>
      </c>
      <c r="E823" s="6" t="s">
        <v>1304</v>
      </c>
      <c r="F823" s="6" t="s">
        <v>3377</v>
      </c>
      <c r="G823" s="6" t="s">
        <v>1306</v>
      </c>
    </row>
    <row r="824" spans="1:7" ht="69.95" customHeight="1">
      <c r="A824" s="6" t="s">
        <v>3369</v>
      </c>
      <c r="B824" s="6" t="s">
        <v>2090</v>
      </c>
      <c r="C824" s="6" t="s">
        <v>3378</v>
      </c>
      <c r="D824" s="6" t="s">
        <v>1303</v>
      </c>
      <c r="E824" s="6" t="s">
        <v>1304</v>
      </c>
      <c r="F824" s="6" t="s">
        <v>3379</v>
      </c>
      <c r="G824" s="6" t="s">
        <v>1306</v>
      </c>
    </row>
    <row r="825" spans="1:7" ht="69.95" customHeight="1">
      <c r="A825" s="6" t="s">
        <v>3369</v>
      </c>
      <c r="B825" s="6" t="s">
        <v>2096</v>
      </c>
      <c r="C825" s="6" t="s">
        <v>3380</v>
      </c>
      <c r="D825" s="6" t="s">
        <v>1303</v>
      </c>
      <c r="E825" s="6" t="s">
        <v>1304</v>
      </c>
      <c r="F825" s="6" t="s">
        <v>3381</v>
      </c>
      <c r="G825" s="6" t="s">
        <v>1306</v>
      </c>
    </row>
    <row r="826" spans="1:7" ht="69.95" customHeight="1">
      <c r="A826" s="6" t="s">
        <v>3369</v>
      </c>
      <c r="B826" s="6" t="s">
        <v>3382</v>
      </c>
      <c r="C826" s="6" t="s">
        <v>3383</v>
      </c>
      <c r="D826" s="6" t="s">
        <v>1303</v>
      </c>
      <c r="E826" s="6" t="s">
        <v>1304</v>
      </c>
      <c r="F826" s="6" t="s">
        <v>3384</v>
      </c>
      <c r="G826" s="6" t="s">
        <v>1306</v>
      </c>
    </row>
    <row r="827" spans="1:7" ht="69.95" customHeight="1">
      <c r="A827" s="6" t="s">
        <v>3369</v>
      </c>
      <c r="B827" s="6" t="s">
        <v>3343</v>
      </c>
      <c r="C827" s="6" t="s">
        <v>3385</v>
      </c>
      <c r="D827" s="6" t="s">
        <v>1303</v>
      </c>
      <c r="E827" s="6" t="s">
        <v>1304</v>
      </c>
      <c r="F827" s="6" t="s">
        <v>3386</v>
      </c>
      <c r="G827" s="6" t="s">
        <v>1306</v>
      </c>
    </row>
    <row r="828" spans="1:7" ht="69.95" customHeight="1">
      <c r="A828" s="6" t="s">
        <v>3369</v>
      </c>
      <c r="B828" s="6" t="s">
        <v>2099</v>
      </c>
      <c r="C828" s="6" t="s">
        <v>3387</v>
      </c>
      <c r="D828" s="6" t="s">
        <v>1303</v>
      </c>
      <c r="E828" s="6" t="s">
        <v>1304</v>
      </c>
      <c r="F828" s="6" t="s">
        <v>3388</v>
      </c>
      <c r="G828" s="6" t="s">
        <v>1306</v>
      </c>
    </row>
    <row r="829" spans="1:7" ht="69.95" customHeight="1">
      <c r="A829" s="6" t="s">
        <v>3389</v>
      </c>
      <c r="B829" s="6" t="s">
        <v>3389</v>
      </c>
      <c r="C829" s="6" t="s">
        <v>3390</v>
      </c>
      <c r="D829" s="6" t="s">
        <v>1303</v>
      </c>
      <c r="E829" s="6" t="s">
        <v>1304</v>
      </c>
      <c r="F829" s="6" t="s">
        <v>3391</v>
      </c>
      <c r="G829" s="6" t="s">
        <v>1306</v>
      </c>
    </row>
    <row r="830" spans="1:7" ht="69.95" customHeight="1">
      <c r="A830" s="6" t="s">
        <v>3389</v>
      </c>
      <c r="B830" s="6" t="s">
        <v>3392</v>
      </c>
      <c r="C830" s="6" t="s">
        <v>3393</v>
      </c>
      <c r="D830" s="6" t="s">
        <v>1303</v>
      </c>
      <c r="E830" s="6" t="s">
        <v>1304</v>
      </c>
      <c r="F830" s="6" t="s">
        <v>3394</v>
      </c>
      <c r="G830" s="6" t="s">
        <v>1306</v>
      </c>
    </row>
    <row r="831" spans="1:7" ht="69.95" customHeight="1">
      <c r="A831" s="6" t="s">
        <v>3389</v>
      </c>
      <c r="B831" s="6" t="s">
        <v>3395</v>
      </c>
      <c r="C831" s="6" t="s">
        <v>3396</v>
      </c>
      <c r="D831" s="6" t="s">
        <v>1303</v>
      </c>
      <c r="E831" s="6" t="s">
        <v>1304</v>
      </c>
      <c r="F831" s="6" t="s">
        <v>3397</v>
      </c>
      <c r="G831" s="6" t="s">
        <v>1306</v>
      </c>
    </row>
    <row r="832" spans="1:7" ht="69.95" customHeight="1">
      <c r="A832" s="6" t="s">
        <v>3389</v>
      </c>
      <c r="B832" s="6" t="s">
        <v>3398</v>
      </c>
      <c r="C832" s="6" t="s">
        <v>3399</v>
      </c>
      <c r="D832" s="6" t="s">
        <v>1303</v>
      </c>
      <c r="E832" s="6" t="s">
        <v>1304</v>
      </c>
      <c r="F832" s="6" t="s">
        <v>3400</v>
      </c>
      <c r="G832" s="6" t="s">
        <v>1306</v>
      </c>
    </row>
    <row r="833" spans="1:7" ht="69.95" customHeight="1">
      <c r="A833" s="6" t="s">
        <v>3389</v>
      </c>
      <c r="B833" s="6" t="s">
        <v>3401</v>
      </c>
      <c r="C833" s="6" t="s">
        <v>3402</v>
      </c>
      <c r="D833" s="6" t="s">
        <v>1303</v>
      </c>
      <c r="E833" s="6" t="s">
        <v>1304</v>
      </c>
      <c r="F833" s="6" t="s">
        <v>3403</v>
      </c>
      <c r="G833" s="6" t="s">
        <v>1306</v>
      </c>
    </row>
    <row r="834" spans="1:7" ht="69.95" customHeight="1">
      <c r="A834" s="6" t="s">
        <v>3389</v>
      </c>
      <c r="B834" s="6" t="s">
        <v>3404</v>
      </c>
      <c r="C834" s="6" t="s">
        <v>3405</v>
      </c>
      <c r="D834" s="6" t="s">
        <v>1303</v>
      </c>
      <c r="E834" s="6" t="s">
        <v>1304</v>
      </c>
      <c r="F834" s="6" t="s">
        <v>3406</v>
      </c>
      <c r="G834" s="6" t="s">
        <v>1306</v>
      </c>
    </row>
    <row r="835" spans="1:7" ht="69.95" customHeight="1">
      <c r="A835" s="6" t="s">
        <v>3389</v>
      </c>
      <c r="B835" s="6" t="s">
        <v>3407</v>
      </c>
      <c r="C835" s="6" t="s">
        <v>3408</v>
      </c>
      <c r="D835" s="6" t="s">
        <v>1303</v>
      </c>
      <c r="E835" s="6" t="s">
        <v>1304</v>
      </c>
      <c r="F835" s="6" t="s">
        <v>3409</v>
      </c>
      <c r="G835" s="6" t="s">
        <v>1306</v>
      </c>
    </row>
    <row r="836" spans="1:7" ht="69.95" customHeight="1">
      <c r="A836" s="6" t="s">
        <v>3389</v>
      </c>
      <c r="B836" s="6" t="s">
        <v>3410</v>
      </c>
      <c r="C836" s="6" t="s">
        <v>3411</v>
      </c>
      <c r="D836" s="6" t="s">
        <v>1303</v>
      </c>
      <c r="E836" s="6" t="s">
        <v>1304</v>
      </c>
      <c r="F836" s="6" t="s">
        <v>3412</v>
      </c>
      <c r="G836" s="6" t="s">
        <v>1306</v>
      </c>
    </row>
    <row r="837" spans="1:7" ht="69.95" customHeight="1">
      <c r="A837" s="6" t="s">
        <v>3389</v>
      </c>
      <c r="B837" s="6" t="s">
        <v>3413</v>
      </c>
      <c r="C837" s="6" t="s">
        <v>3414</v>
      </c>
      <c r="D837" s="6" t="s">
        <v>1303</v>
      </c>
      <c r="E837" s="6" t="s">
        <v>1304</v>
      </c>
      <c r="F837" s="6" t="s">
        <v>3415</v>
      </c>
      <c r="G837" s="6" t="s">
        <v>1306</v>
      </c>
    </row>
    <row r="838" spans="1:7" ht="69.95" customHeight="1">
      <c r="A838" s="6" t="s">
        <v>3389</v>
      </c>
      <c r="B838" s="6" t="s">
        <v>3416</v>
      </c>
      <c r="C838" s="6" t="s">
        <v>3417</v>
      </c>
      <c r="D838" s="6" t="s">
        <v>1303</v>
      </c>
      <c r="E838" s="6" t="s">
        <v>1304</v>
      </c>
      <c r="F838" s="6" t="s">
        <v>3418</v>
      </c>
      <c r="G838" s="6" t="s">
        <v>1306</v>
      </c>
    </row>
    <row r="839" spans="1:7" ht="69.95" customHeight="1">
      <c r="A839" s="6" t="s">
        <v>3389</v>
      </c>
      <c r="B839" s="6" t="s">
        <v>1639</v>
      </c>
      <c r="C839" s="6" t="s">
        <v>3419</v>
      </c>
      <c r="D839" s="6" t="s">
        <v>1303</v>
      </c>
      <c r="E839" s="6" t="s">
        <v>1304</v>
      </c>
      <c r="F839" s="6" t="s">
        <v>3420</v>
      </c>
      <c r="G839" s="6" t="s">
        <v>1306</v>
      </c>
    </row>
    <row r="840" spans="1:7" ht="69.95" customHeight="1">
      <c r="A840" s="6" t="s">
        <v>3389</v>
      </c>
      <c r="B840" s="6" t="s">
        <v>3421</v>
      </c>
      <c r="C840" s="6" t="s">
        <v>3422</v>
      </c>
      <c r="D840" s="6" t="s">
        <v>1303</v>
      </c>
      <c r="E840" s="6" t="s">
        <v>1304</v>
      </c>
      <c r="F840" s="6" t="s">
        <v>3423</v>
      </c>
      <c r="G840" s="6" t="s">
        <v>1306</v>
      </c>
    </row>
    <row r="841" spans="1:7" ht="69.95" customHeight="1">
      <c r="A841" s="6" t="s">
        <v>3389</v>
      </c>
      <c r="B841" s="6" t="s">
        <v>3424</v>
      </c>
      <c r="C841" s="6" t="s">
        <v>3425</v>
      </c>
      <c r="D841" s="6" t="s">
        <v>1303</v>
      </c>
      <c r="E841" s="6" t="s">
        <v>1304</v>
      </c>
      <c r="F841" s="6" t="s">
        <v>3426</v>
      </c>
      <c r="G841" s="6" t="s">
        <v>1306</v>
      </c>
    </row>
    <row r="842" spans="1:7" ht="69.95" customHeight="1">
      <c r="A842" s="6" t="s">
        <v>3389</v>
      </c>
      <c r="B842" s="6" t="s">
        <v>3427</v>
      </c>
      <c r="C842" s="6" t="s">
        <v>3428</v>
      </c>
      <c r="D842" s="6" t="s">
        <v>1303</v>
      </c>
      <c r="E842" s="6" t="s">
        <v>1304</v>
      </c>
      <c r="F842" s="6" t="s">
        <v>3429</v>
      </c>
      <c r="G842" s="6" t="s">
        <v>1306</v>
      </c>
    </row>
    <row r="843" spans="1:7" ht="69.95" customHeight="1">
      <c r="A843" s="6" t="s">
        <v>3389</v>
      </c>
      <c r="B843" s="6" t="s">
        <v>3430</v>
      </c>
      <c r="C843" s="6" t="s">
        <v>3431</v>
      </c>
      <c r="D843" s="6" t="s">
        <v>1303</v>
      </c>
      <c r="E843" s="6" t="s">
        <v>1304</v>
      </c>
      <c r="F843" s="6" t="s">
        <v>3432</v>
      </c>
      <c r="G843" s="6" t="s">
        <v>1306</v>
      </c>
    </row>
    <row r="844" spans="1:7" ht="69.95" customHeight="1">
      <c r="A844" s="6" t="s">
        <v>3433</v>
      </c>
      <c r="B844" s="6" t="s">
        <v>3434</v>
      </c>
      <c r="C844" s="6" t="s">
        <v>3435</v>
      </c>
      <c r="D844" s="6" t="s">
        <v>1303</v>
      </c>
      <c r="E844" s="6" t="s">
        <v>1304</v>
      </c>
      <c r="F844" s="6" t="s">
        <v>3436</v>
      </c>
      <c r="G844" s="6" t="s">
        <v>1306</v>
      </c>
    </row>
    <row r="845" spans="1:7" ht="69.95" customHeight="1">
      <c r="A845" s="6" t="s">
        <v>3433</v>
      </c>
      <c r="B845" s="6" t="s">
        <v>3437</v>
      </c>
      <c r="C845" s="6" t="s">
        <v>3438</v>
      </c>
      <c r="D845" s="6" t="s">
        <v>1303</v>
      </c>
      <c r="E845" s="6" t="s">
        <v>1304</v>
      </c>
      <c r="F845" s="6" t="s">
        <v>3439</v>
      </c>
      <c r="G845" s="6" t="s">
        <v>1306</v>
      </c>
    </row>
    <row r="846" spans="1:7" ht="69.95" customHeight="1">
      <c r="A846" s="6" t="s">
        <v>3433</v>
      </c>
      <c r="B846" s="6" t="s">
        <v>3440</v>
      </c>
      <c r="C846" s="6" t="s">
        <v>3441</v>
      </c>
      <c r="D846" s="6" t="s">
        <v>1303</v>
      </c>
      <c r="E846" s="6" t="s">
        <v>1304</v>
      </c>
      <c r="F846" s="6" t="s">
        <v>3442</v>
      </c>
      <c r="G846" s="6" t="s">
        <v>1306</v>
      </c>
    </row>
    <row r="847" spans="1:7" ht="69.95" customHeight="1">
      <c r="A847" s="6" t="s">
        <v>3433</v>
      </c>
      <c r="B847" s="6" t="s">
        <v>3443</v>
      </c>
      <c r="C847" s="6" t="s">
        <v>3444</v>
      </c>
      <c r="D847" s="6" t="s">
        <v>1303</v>
      </c>
      <c r="E847" s="6" t="s">
        <v>1304</v>
      </c>
      <c r="F847" s="6" t="s">
        <v>3445</v>
      </c>
      <c r="G847" s="6" t="s">
        <v>1306</v>
      </c>
    </row>
    <row r="848" spans="1:7" ht="69.95" customHeight="1">
      <c r="A848" s="6" t="s">
        <v>3433</v>
      </c>
      <c r="B848" s="6" t="s">
        <v>3446</v>
      </c>
      <c r="C848" s="6" t="s">
        <v>3402</v>
      </c>
      <c r="D848" s="6" t="s">
        <v>1303</v>
      </c>
      <c r="E848" s="6" t="s">
        <v>1304</v>
      </c>
      <c r="F848" s="6" t="s">
        <v>3447</v>
      </c>
      <c r="G848" s="6" t="s">
        <v>1306</v>
      </c>
    </row>
    <row r="849" spans="1:7" ht="69.95" customHeight="1">
      <c r="A849" s="6" t="s">
        <v>3433</v>
      </c>
      <c r="B849" s="6" t="s">
        <v>3448</v>
      </c>
      <c r="C849" s="6" t="s">
        <v>3449</v>
      </c>
      <c r="D849" s="6" t="s">
        <v>1303</v>
      </c>
      <c r="E849" s="6" t="s">
        <v>1304</v>
      </c>
      <c r="F849" s="6" t="s">
        <v>3450</v>
      </c>
      <c r="G849" s="6" t="s">
        <v>1306</v>
      </c>
    </row>
    <row r="850" spans="1:7" ht="69.95" customHeight="1">
      <c r="A850" s="6" t="s">
        <v>3433</v>
      </c>
      <c r="B850" s="6" t="s">
        <v>3451</v>
      </c>
      <c r="C850" s="6" t="s">
        <v>3452</v>
      </c>
      <c r="D850" s="6" t="s">
        <v>1303</v>
      </c>
      <c r="E850" s="6" t="s">
        <v>1304</v>
      </c>
      <c r="F850" s="6" t="s">
        <v>3453</v>
      </c>
      <c r="G850" s="6" t="s">
        <v>1306</v>
      </c>
    </row>
    <row r="851" spans="1:7" ht="69.95" customHeight="1">
      <c r="A851" s="6" t="s">
        <v>3433</v>
      </c>
      <c r="B851" s="6" t="s">
        <v>3421</v>
      </c>
      <c r="C851" s="6" t="s">
        <v>3422</v>
      </c>
      <c r="D851" s="6" t="s">
        <v>1303</v>
      </c>
      <c r="E851" s="6" t="s">
        <v>1304</v>
      </c>
      <c r="F851" s="6" t="s">
        <v>3454</v>
      </c>
      <c r="G851" s="6" t="s">
        <v>1306</v>
      </c>
    </row>
    <row r="852" spans="1:7" ht="69.95" customHeight="1">
      <c r="A852" s="6" t="s">
        <v>3455</v>
      </c>
      <c r="B852" s="6" t="s">
        <v>3456</v>
      </c>
      <c r="C852" s="6" t="s">
        <v>3457</v>
      </c>
      <c r="D852" s="6" t="s">
        <v>1303</v>
      </c>
      <c r="E852" s="6" t="s">
        <v>1304</v>
      </c>
      <c r="F852" s="6" t="s">
        <v>3458</v>
      </c>
      <c r="G852" s="6" t="s">
        <v>1306</v>
      </c>
    </row>
    <row r="853" spans="1:7" ht="69.95" customHeight="1">
      <c r="A853" s="6" t="s">
        <v>3455</v>
      </c>
      <c r="B853" s="6" t="s">
        <v>3459</v>
      </c>
      <c r="C853" s="6" t="s">
        <v>3460</v>
      </c>
      <c r="D853" s="6" t="s">
        <v>1303</v>
      </c>
      <c r="E853" s="6" t="s">
        <v>1304</v>
      </c>
      <c r="F853" s="6" t="s">
        <v>3461</v>
      </c>
      <c r="G853" s="6" t="s">
        <v>1306</v>
      </c>
    </row>
    <row r="854" spans="1:7" ht="69.95" customHeight="1">
      <c r="A854" s="6" t="s">
        <v>3455</v>
      </c>
      <c r="B854" s="6" t="s">
        <v>3462</v>
      </c>
      <c r="C854" s="6" t="s">
        <v>3463</v>
      </c>
      <c r="D854" s="6" t="s">
        <v>1303</v>
      </c>
      <c r="E854" s="6" t="s">
        <v>1304</v>
      </c>
      <c r="F854" s="6" t="s">
        <v>3464</v>
      </c>
      <c r="G854" s="6" t="s">
        <v>1306</v>
      </c>
    </row>
    <row r="855" spans="1:7" ht="69.95" customHeight="1">
      <c r="A855" s="6" t="s">
        <v>3455</v>
      </c>
      <c r="B855" s="6" t="s">
        <v>3465</v>
      </c>
      <c r="C855" s="6" t="s">
        <v>3466</v>
      </c>
      <c r="D855" s="6" t="s">
        <v>1303</v>
      </c>
      <c r="E855" s="6" t="s">
        <v>1304</v>
      </c>
      <c r="F855" s="6" t="s">
        <v>3467</v>
      </c>
      <c r="G855" s="6" t="s">
        <v>1306</v>
      </c>
    </row>
    <row r="856" spans="1:7" ht="69.95" customHeight="1">
      <c r="A856" s="6" t="s">
        <v>3455</v>
      </c>
      <c r="B856" s="6" t="s">
        <v>3468</v>
      </c>
      <c r="C856" s="6" t="s">
        <v>3402</v>
      </c>
      <c r="D856" s="6" t="s">
        <v>1303</v>
      </c>
      <c r="E856" s="6" t="s">
        <v>1304</v>
      </c>
      <c r="F856" s="6" t="s">
        <v>3469</v>
      </c>
      <c r="G856" s="6" t="s">
        <v>1306</v>
      </c>
    </row>
    <row r="857" spans="1:7" ht="69.95" customHeight="1">
      <c r="A857" s="6" t="s">
        <v>3455</v>
      </c>
      <c r="B857" s="6" t="s">
        <v>3404</v>
      </c>
      <c r="C857" s="6" t="s">
        <v>3470</v>
      </c>
      <c r="D857" s="6" t="s">
        <v>1303</v>
      </c>
      <c r="E857" s="6" t="s">
        <v>1304</v>
      </c>
      <c r="F857" s="6" t="s">
        <v>3471</v>
      </c>
      <c r="G857" s="6" t="s">
        <v>1306</v>
      </c>
    </row>
    <row r="858" spans="1:7" ht="69.95" customHeight="1">
      <c r="A858" s="6" t="s">
        <v>3455</v>
      </c>
      <c r="B858" s="6" t="s">
        <v>3407</v>
      </c>
      <c r="C858" s="6" t="s">
        <v>3472</v>
      </c>
      <c r="D858" s="6" t="s">
        <v>1303</v>
      </c>
      <c r="E858" s="6" t="s">
        <v>1304</v>
      </c>
      <c r="F858" s="6" t="s">
        <v>3473</v>
      </c>
      <c r="G858" s="6" t="s">
        <v>1306</v>
      </c>
    </row>
    <row r="859" spans="1:7" ht="69.95" customHeight="1">
      <c r="A859" s="6" t="s">
        <v>3455</v>
      </c>
      <c r="B859" s="6" t="s">
        <v>3410</v>
      </c>
      <c r="C859" s="6" t="s">
        <v>3411</v>
      </c>
      <c r="D859" s="6" t="s">
        <v>1303</v>
      </c>
      <c r="E859" s="6" t="s">
        <v>1304</v>
      </c>
      <c r="F859" s="6" t="s">
        <v>3474</v>
      </c>
      <c r="G859" s="6" t="s">
        <v>1306</v>
      </c>
    </row>
    <row r="860" spans="1:7" ht="69.95" customHeight="1">
      <c r="A860" s="6" t="s">
        <v>3455</v>
      </c>
      <c r="B860" s="6" t="s">
        <v>3413</v>
      </c>
      <c r="C860" s="6" t="s">
        <v>3414</v>
      </c>
      <c r="D860" s="6" t="s">
        <v>1303</v>
      </c>
      <c r="E860" s="6" t="s">
        <v>1304</v>
      </c>
      <c r="F860" s="6" t="s">
        <v>3475</v>
      </c>
      <c r="G860" s="6" t="s">
        <v>1306</v>
      </c>
    </row>
    <row r="861" spans="1:7" ht="69.95" customHeight="1">
      <c r="A861" s="6" t="s">
        <v>3455</v>
      </c>
      <c r="B861" s="6" t="s">
        <v>3416</v>
      </c>
      <c r="C861" s="6" t="s">
        <v>3476</v>
      </c>
      <c r="D861" s="6" t="s">
        <v>1303</v>
      </c>
      <c r="E861" s="6" t="s">
        <v>1304</v>
      </c>
      <c r="F861" s="6" t="s">
        <v>3477</v>
      </c>
      <c r="G861" s="6" t="s">
        <v>1306</v>
      </c>
    </row>
    <row r="862" spans="1:7" ht="69.95" customHeight="1">
      <c r="A862" s="6" t="s">
        <v>3455</v>
      </c>
      <c r="B862" s="6" t="s">
        <v>1639</v>
      </c>
      <c r="C862" s="6" t="s">
        <v>3478</v>
      </c>
      <c r="D862" s="6" t="s">
        <v>1303</v>
      </c>
      <c r="E862" s="6" t="s">
        <v>1304</v>
      </c>
      <c r="F862" s="6" t="s">
        <v>3479</v>
      </c>
      <c r="G862" s="6" t="s">
        <v>1306</v>
      </c>
    </row>
    <row r="863" spans="1:7" ht="69.95" customHeight="1">
      <c r="A863" s="6" t="s">
        <v>3455</v>
      </c>
      <c r="B863" s="6" t="s">
        <v>3421</v>
      </c>
      <c r="C863" s="6" t="s">
        <v>3422</v>
      </c>
      <c r="D863" s="6" t="s">
        <v>1303</v>
      </c>
      <c r="E863" s="6" t="s">
        <v>1304</v>
      </c>
      <c r="F863" s="6" t="s">
        <v>3480</v>
      </c>
      <c r="G863" s="6" t="s">
        <v>1306</v>
      </c>
    </row>
    <row r="864" spans="1:7" ht="69.95" customHeight="1">
      <c r="A864" s="6" t="s">
        <v>3455</v>
      </c>
      <c r="B864" s="6" t="s">
        <v>3424</v>
      </c>
      <c r="C864" s="6" t="s">
        <v>3425</v>
      </c>
      <c r="D864" s="6" t="s">
        <v>1303</v>
      </c>
      <c r="E864" s="6" t="s">
        <v>1304</v>
      </c>
      <c r="F864" s="6" t="s">
        <v>3481</v>
      </c>
      <c r="G864" s="6" t="s">
        <v>1306</v>
      </c>
    </row>
    <row r="865" spans="1:7" ht="69.95" customHeight="1">
      <c r="A865" s="6" t="s">
        <v>3455</v>
      </c>
      <c r="B865" s="6" t="s">
        <v>3427</v>
      </c>
      <c r="C865" s="6" t="s">
        <v>3428</v>
      </c>
      <c r="D865" s="6" t="s">
        <v>1303</v>
      </c>
      <c r="E865" s="6" t="s">
        <v>1304</v>
      </c>
      <c r="F865" s="6" t="s">
        <v>3482</v>
      </c>
      <c r="G865" s="6" t="s">
        <v>1306</v>
      </c>
    </row>
    <row r="866" spans="1:7" ht="69.95" customHeight="1">
      <c r="A866" s="6" t="s">
        <v>3455</v>
      </c>
      <c r="B866" s="6" t="s">
        <v>3430</v>
      </c>
      <c r="C866" s="6" t="s">
        <v>3431</v>
      </c>
      <c r="D866" s="6" t="s">
        <v>1303</v>
      </c>
      <c r="E866" s="6" t="s">
        <v>1304</v>
      </c>
      <c r="F866" s="6" t="s">
        <v>3483</v>
      </c>
      <c r="G866" s="6" t="s">
        <v>1306</v>
      </c>
    </row>
    <row r="867" spans="1:7" ht="69.95" customHeight="1">
      <c r="A867" s="6" t="s">
        <v>3484</v>
      </c>
      <c r="B867" s="6" t="s">
        <v>3485</v>
      </c>
      <c r="C867" s="6" t="s">
        <v>3486</v>
      </c>
      <c r="D867" s="6" t="s">
        <v>1303</v>
      </c>
      <c r="E867" s="6" t="s">
        <v>1304</v>
      </c>
      <c r="F867" s="6" t="s">
        <v>3487</v>
      </c>
      <c r="G867" s="6" t="s">
        <v>1306</v>
      </c>
    </row>
    <row r="868" spans="1:7" ht="69.95" customHeight="1">
      <c r="A868" s="6" t="s">
        <v>3484</v>
      </c>
      <c r="B868" s="6" t="s">
        <v>3488</v>
      </c>
      <c r="C868" s="6" t="s">
        <v>3489</v>
      </c>
      <c r="D868" s="6" t="s">
        <v>1303</v>
      </c>
      <c r="E868" s="6" t="s">
        <v>1304</v>
      </c>
      <c r="F868" s="6" t="s">
        <v>3490</v>
      </c>
      <c r="G868" s="6" t="s">
        <v>1306</v>
      </c>
    </row>
    <row r="869" spans="1:7" ht="69.95" customHeight="1">
      <c r="A869" s="6" t="s">
        <v>3484</v>
      </c>
      <c r="B869" s="6" t="s">
        <v>3491</v>
      </c>
      <c r="C869" s="6" t="s">
        <v>3492</v>
      </c>
      <c r="D869" s="6" t="s">
        <v>1303</v>
      </c>
      <c r="E869" s="6" t="s">
        <v>1304</v>
      </c>
      <c r="F869" s="6" t="s">
        <v>3493</v>
      </c>
      <c r="G869" s="6" t="s">
        <v>1306</v>
      </c>
    </row>
    <row r="870" spans="1:7" ht="69.95" customHeight="1">
      <c r="A870" s="6" t="s">
        <v>3484</v>
      </c>
      <c r="B870" s="6" t="s">
        <v>3494</v>
      </c>
      <c r="C870" s="6" t="s">
        <v>3402</v>
      </c>
      <c r="D870" s="6" t="s">
        <v>1303</v>
      </c>
      <c r="E870" s="6" t="s">
        <v>1304</v>
      </c>
      <c r="F870" s="6" t="s">
        <v>3495</v>
      </c>
      <c r="G870" s="6" t="s">
        <v>1306</v>
      </c>
    </row>
    <row r="871" spans="1:7" ht="69.95" customHeight="1">
      <c r="A871" s="6" t="s">
        <v>3484</v>
      </c>
      <c r="B871" s="6" t="s">
        <v>3496</v>
      </c>
      <c r="C871" s="6" t="s">
        <v>3497</v>
      </c>
      <c r="D871" s="6" t="s">
        <v>1303</v>
      </c>
      <c r="E871" s="6" t="s">
        <v>1304</v>
      </c>
      <c r="F871" s="6" t="s">
        <v>3498</v>
      </c>
      <c r="G871" s="6" t="s">
        <v>1306</v>
      </c>
    </row>
    <row r="872" spans="1:7" ht="69.95" customHeight="1">
      <c r="A872" s="6" t="s">
        <v>3484</v>
      </c>
      <c r="B872" s="6" t="s">
        <v>3499</v>
      </c>
      <c r="C872" s="6" t="s">
        <v>3500</v>
      </c>
      <c r="D872" s="6" t="s">
        <v>1303</v>
      </c>
      <c r="E872" s="6" t="s">
        <v>1304</v>
      </c>
      <c r="F872" s="6" t="s">
        <v>3501</v>
      </c>
      <c r="G872" s="6" t="s">
        <v>1306</v>
      </c>
    </row>
    <row r="873" spans="1:7" ht="69.95" customHeight="1">
      <c r="A873" s="6" t="s">
        <v>3484</v>
      </c>
      <c r="B873" s="6" t="s">
        <v>3502</v>
      </c>
      <c r="C873" s="6" t="s">
        <v>3503</v>
      </c>
      <c r="D873" s="6" t="s">
        <v>1303</v>
      </c>
      <c r="E873" s="6" t="s">
        <v>1304</v>
      </c>
      <c r="F873" s="6" t="s">
        <v>3504</v>
      </c>
      <c r="G873" s="6" t="s">
        <v>1306</v>
      </c>
    </row>
    <row r="874" spans="1:7" ht="69.95" customHeight="1">
      <c r="A874" s="6" t="s">
        <v>3484</v>
      </c>
      <c r="B874" s="6" t="s">
        <v>3505</v>
      </c>
      <c r="C874" s="6" t="s">
        <v>3506</v>
      </c>
      <c r="D874" s="6" t="s">
        <v>1303</v>
      </c>
      <c r="E874" s="6" t="s">
        <v>1304</v>
      </c>
      <c r="F874" s="6" t="s">
        <v>3507</v>
      </c>
      <c r="G874" s="6" t="s">
        <v>1306</v>
      </c>
    </row>
    <row r="875" spans="1:7" ht="69.95" customHeight="1">
      <c r="A875" s="6" t="s">
        <v>3508</v>
      </c>
      <c r="B875" s="6" t="s">
        <v>2189</v>
      </c>
      <c r="C875" s="6" t="s">
        <v>1465</v>
      </c>
      <c r="D875" s="6" t="s">
        <v>1466</v>
      </c>
      <c r="E875" s="6" t="s">
        <v>1304</v>
      </c>
      <c r="F875" s="6" t="s">
        <v>3509</v>
      </c>
      <c r="G875" s="6" t="s">
        <v>1306</v>
      </c>
    </row>
    <row r="876" spans="1:7" ht="69.95" customHeight="1">
      <c r="A876" s="6" t="s">
        <v>3508</v>
      </c>
      <c r="B876" s="6" t="s">
        <v>2192</v>
      </c>
      <c r="C876" s="6" t="s">
        <v>1465</v>
      </c>
      <c r="D876" s="6" t="s">
        <v>1466</v>
      </c>
      <c r="E876" s="6" t="s">
        <v>1304</v>
      </c>
      <c r="F876" s="6" t="s">
        <v>3510</v>
      </c>
      <c r="G876" s="6" t="s">
        <v>1306</v>
      </c>
    </row>
    <row r="877" spans="1:7" ht="69.95" customHeight="1">
      <c r="A877" s="6" t="s">
        <v>3508</v>
      </c>
      <c r="B877" s="6" t="s">
        <v>2195</v>
      </c>
      <c r="C877" s="6" t="s">
        <v>1465</v>
      </c>
      <c r="D877" s="6" t="s">
        <v>1466</v>
      </c>
      <c r="E877" s="6" t="s">
        <v>1304</v>
      </c>
      <c r="F877" s="6" t="s">
        <v>3511</v>
      </c>
      <c r="G877" s="6" t="s">
        <v>1306</v>
      </c>
    </row>
    <row r="878" spans="1:7" ht="69.95" customHeight="1">
      <c r="A878" s="6" t="s">
        <v>3508</v>
      </c>
      <c r="B878" s="6" t="s">
        <v>2198</v>
      </c>
      <c r="C878" s="6" t="s">
        <v>1465</v>
      </c>
      <c r="D878" s="6" t="s">
        <v>1466</v>
      </c>
      <c r="E878" s="6" t="s">
        <v>1304</v>
      </c>
      <c r="F878" s="6" t="s">
        <v>3512</v>
      </c>
      <c r="G878" s="6" t="s">
        <v>1306</v>
      </c>
    </row>
    <row r="879" spans="1:7" ht="69.95" customHeight="1">
      <c r="A879" s="6" t="s">
        <v>3508</v>
      </c>
      <c r="B879" s="6" t="s">
        <v>2201</v>
      </c>
      <c r="C879" s="6" t="s">
        <v>1465</v>
      </c>
      <c r="D879" s="6" t="s">
        <v>1466</v>
      </c>
      <c r="E879" s="6" t="s">
        <v>1304</v>
      </c>
      <c r="F879" s="6" t="s">
        <v>3513</v>
      </c>
      <c r="G879" s="6" t="s">
        <v>1306</v>
      </c>
    </row>
    <row r="880" spans="1:7" ht="69.95" customHeight="1">
      <c r="A880" s="6" t="s">
        <v>3508</v>
      </c>
      <c r="B880" s="6" t="s">
        <v>2204</v>
      </c>
      <c r="C880" s="6" t="s">
        <v>1465</v>
      </c>
      <c r="D880" s="6" t="s">
        <v>1466</v>
      </c>
      <c r="E880" s="6" t="s">
        <v>1304</v>
      </c>
      <c r="F880" s="6" t="s">
        <v>3514</v>
      </c>
      <c r="G880" s="6" t="s">
        <v>1306</v>
      </c>
    </row>
    <row r="881" spans="1:7" ht="69.95" customHeight="1">
      <c r="A881" s="6" t="s">
        <v>3508</v>
      </c>
      <c r="B881" s="6" t="s">
        <v>2207</v>
      </c>
      <c r="C881" s="6" t="s">
        <v>1465</v>
      </c>
      <c r="D881" s="6" t="s">
        <v>1466</v>
      </c>
      <c r="E881" s="6" t="s">
        <v>1304</v>
      </c>
      <c r="F881" s="6" t="s">
        <v>3515</v>
      </c>
      <c r="G881" s="6" t="s">
        <v>1306</v>
      </c>
    </row>
    <row r="882" spans="1:7" ht="69.95" customHeight="1">
      <c r="A882" s="6" t="s">
        <v>3508</v>
      </c>
      <c r="B882" s="6" t="s">
        <v>2210</v>
      </c>
      <c r="C882" s="6" t="s">
        <v>1465</v>
      </c>
      <c r="D882" s="6" t="s">
        <v>1466</v>
      </c>
      <c r="E882" s="6" t="s">
        <v>1304</v>
      </c>
      <c r="F882" s="6" t="s">
        <v>3516</v>
      </c>
      <c r="G882" s="6" t="s">
        <v>1306</v>
      </c>
    </row>
    <row r="883" spans="1:7" ht="69.95" customHeight="1">
      <c r="A883" s="6" t="s">
        <v>3508</v>
      </c>
      <c r="B883" s="6" t="s">
        <v>3517</v>
      </c>
      <c r="C883" s="6" t="s">
        <v>1465</v>
      </c>
      <c r="D883" s="6" t="s">
        <v>1466</v>
      </c>
      <c r="E883" s="6" t="s">
        <v>1304</v>
      </c>
      <c r="F883" s="6" t="s">
        <v>3518</v>
      </c>
      <c r="G883" s="6" t="s">
        <v>1306</v>
      </c>
    </row>
    <row r="884" spans="1:7" ht="69.95" customHeight="1">
      <c r="A884" s="6" t="s">
        <v>3508</v>
      </c>
      <c r="B884" s="6" t="s">
        <v>3519</v>
      </c>
      <c r="C884" s="6" t="s">
        <v>1465</v>
      </c>
      <c r="D884" s="6" t="s">
        <v>1466</v>
      </c>
      <c r="E884" s="6" t="s">
        <v>1304</v>
      </c>
      <c r="F884" s="6" t="s">
        <v>3520</v>
      </c>
      <c r="G884" s="6" t="s">
        <v>1306</v>
      </c>
    </row>
    <row r="885" spans="1:7" ht="69.95" customHeight="1">
      <c r="A885" s="6" t="s">
        <v>3508</v>
      </c>
      <c r="B885" s="6" t="s">
        <v>3521</v>
      </c>
      <c r="C885" s="6" t="s">
        <v>1465</v>
      </c>
      <c r="D885" s="6" t="s">
        <v>1466</v>
      </c>
      <c r="E885" s="6" t="s">
        <v>1304</v>
      </c>
      <c r="F885" s="6" t="s">
        <v>3522</v>
      </c>
      <c r="G885" s="6" t="s">
        <v>1306</v>
      </c>
    </row>
    <row r="886" spans="1:7" ht="69.95" customHeight="1">
      <c r="A886" s="6" t="s">
        <v>3508</v>
      </c>
      <c r="B886" s="6" t="s">
        <v>2222</v>
      </c>
      <c r="C886" s="6" t="s">
        <v>1465</v>
      </c>
      <c r="D886" s="6" t="s">
        <v>1466</v>
      </c>
      <c r="E886" s="6" t="s">
        <v>1304</v>
      </c>
      <c r="F886" s="6" t="s">
        <v>3523</v>
      </c>
      <c r="G886" s="6" t="s">
        <v>1306</v>
      </c>
    </row>
    <row r="887" spans="1:7" ht="69.95" customHeight="1">
      <c r="A887" s="6" t="s">
        <v>3508</v>
      </c>
      <c r="B887" s="6" t="s">
        <v>2225</v>
      </c>
      <c r="C887" s="6" t="s">
        <v>1465</v>
      </c>
      <c r="D887" s="6" t="s">
        <v>1466</v>
      </c>
      <c r="E887" s="6" t="s">
        <v>1304</v>
      </c>
      <c r="F887" s="6" t="s">
        <v>3524</v>
      </c>
      <c r="G887" s="6" t="s">
        <v>1306</v>
      </c>
    </row>
    <row r="888" spans="1:7" ht="69.95" customHeight="1">
      <c r="A888" s="6" t="s">
        <v>3508</v>
      </c>
      <c r="B888" s="6" t="s">
        <v>2228</v>
      </c>
      <c r="C888" s="6" t="s">
        <v>1465</v>
      </c>
      <c r="D888" s="6" t="s">
        <v>1466</v>
      </c>
      <c r="E888" s="6" t="s">
        <v>1304</v>
      </c>
      <c r="F888" s="6" t="s">
        <v>3525</v>
      </c>
      <c r="G888" s="6" t="s">
        <v>1306</v>
      </c>
    </row>
    <row r="889" spans="1:7" ht="69.95" customHeight="1">
      <c r="A889" s="6" t="s">
        <v>3508</v>
      </c>
      <c r="B889" s="6" t="s">
        <v>1687</v>
      </c>
      <c r="C889" s="6" t="s">
        <v>1465</v>
      </c>
      <c r="D889" s="6" t="s">
        <v>1466</v>
      </c>
      <c r="E889" s="6" t="s">
        <v>1304</v>
      </c>
      <c r="F889" s="6" t="s">
        <v>3526</v>
      </c>
      <c r="G889" s="6" t="s">
        <v>1306</v>
      </c>
    </row>
    <row r="890" spans="1:7" ht="69.95" customHeight="1">
      <c r="A890" s="6" t="s">
        <v>3508</v>
      </c>
      <c r="B890" s="6" t="s">
        <v>2233</v>
      </c>
      <c r="C890" s="6" t="s">
        <v>1465</v>
      </c>
      <c r="D890" s="6" t="s">
        <v>1466</v>
      </c>
      <c r="E890" s="6" t="s">
        <v>1304</v>
      </c>
      <c r="F890" s="6" t="s">
        <v>3527</v>
      </c>
      <c r="G890" s="6" t="s">
        <v>1306</v>
      </c>
    </row>
    <row r="891" spans="1:7" ht="69.95" customHeight="1">
      <c r="A891" s="6" t="s">
        <v>3508</v>
      </c>
      <c r="B891" s="6" t="s">
        <v>2236</v>
      </c>
      <c r="C891" s="6" t="s">
        <v>1465</v>
      </c>
      <c r="D891" s="6" t="s">
        <v>1466</v>
      </c>
      <c r="E891" s="6" t="s">
        <v>1304</v>
      </c>
      <c r="F891" s="6" t="s">
        <v>3528</v>
      </c>
      <c r="G891" s="6" t="s">
        <v>1306</v>
      </c>
    </row>
    <row r="892" spans="1:7" ht="69.95" customHeight="1">
      <c r="A892" s="6" t="s">
        <v>3508</v>
      </c>
      <c r="B892" s="6" t="s">
        <v>2239</v>
      </c>
      <c r="C892" s="6" t="s">
        <v>1465</v>
      </c>
      <c r="D892" s="6" t="s">
        <v>1466</v>
      </c>
      <c r="E892" s="6" t="s">
        <v>1304</v>
      </c>
      <c r="F892" s="6" t="s">
        <v>3529</v>
      </c>
      <c r="G892" s="6" t="s">
        <v>1306</v>
      </c>
    </row>
    <row r="893" spans="1:7" ht="69.95" customHeight="1">
      <c r="A893" s="6" t="s">
        <v>3508</v>
      </c>
      <c r="B893" s="6" t="s">
        <v>2242</v>
      </c>
      <c r="C893" s="6" t="s">
        <v>1465</v>
      </c>
      <c r="D893" s="6" t="s">
        <v>1466</v>
      </c>
      <c r="E893" s="6" t="s">
        <v>1304</v>
      </c>
      <c r="F893" s="6" t="s">
        <v>3530</v>
      </c>
      <c r="G893" s="6" t="s">
        <v>1306</v>
      </c>
    </row>
    <row r="894" spans="1:7" ht="69.95" customHeight="1">
      <c r="A894" s="6" t="s">
        <v>3508</v>
      </c>
      <c r="B894" s="6" t="s">
        <v>2245</v>
      </c>
      <c r="C894" s="6" t="s">
        <v>1465</v>
      </c>
      <c r="D894" s="6" t="s">
        <v>1466</v>
      </c>
      <c r="E894" s="6" t="s">
        <v>1304</v>
      </c>
      <c r="F894" s="6" t="s">
        <v>3531</v>
      </c>
      <c r="G894" s="6" t="s">
        <v>1306</v>
      </c>
    </row>
    <row r="895" spans="1:7" ht="69.95" customHeight="1">
      <c r="A895" s="6" t="s">
        <v>3508</v>
      </c>
      <c r="B895" s="6" t="s">
        <v>2248</v>
      </c>
      <c r="C895" s="6" t="s">
        <v>1465</v>
      </c>
      <c r="D895" s="6" t="s">
        <v>1466</v>
      </c>
      <c r="E895" s="6" t="s">
        <v>1304</v>
      </c>
      <c r="F895" s="6" t="s">
        <v>3532</v>
      </c>
      <c r="G895" s="6" t="s">
        <v>1306</v>
      </c>
    </row>
    <row r="896" spans="1:7" ht="69.95" customHeight="1">
      <c r="A896" s="6" t="s">
        <v>3508</v>
      </c>
      <c r="B896" s="6" t="s">
        <v>1464</v>
      </c>
      <c r="C896" s="6" t="s">
        <v>1465</v>
      </c>
      <c r="D896" s="6" t="s">
        <v>1466</v>
      </c>
      <c r="E896" s="6" t="s">
        <v>1304</v>
      </c>
      <c r="F896" s="6" t="s">
        <v>3533</v>
      </c>
      <c r="G896" s="6" t="s">
        <v>1306</v>
      </c>
    </row>
    <row r="897" spans="1:7" ht="69.95" customHeight="1">
      <c r="A897" s="6" t="s">
        <v>3508</v>
      </c>
      <c r="B897" s="6" t="s">
        <v>1468</v>
      </c>
      <c r="C897" s="6" t="s">
        <v>1465</v>
      </c>
      <c r="D897" s="6" t="s">
        <v>1466</v>
      </c>
      <c r="E897" s="6" t="s">
        <v>1304</v>
      </c>
      <c r="F897" s="6" t="s">
        <v>3534</v>
      </c>
      <c r="G897" s="6" t="s">
        <v>1306</v>
      </c>
    </row>
    <row r="898" spans="1:7" ht="69.95" customHeight="1">
      <c r="A898" s="6" t="s">
        <v>3508</v>
      </c>
      <c r="B898" s="6" t="s">
        <v>1470</v>
      </c>
      <c r="C898" s="6" t="s">
        <v>1465</v>
      </c>
      <c r="D898" s="6" t="s">
        <v>1466</v>
      </c>
      <c r="E898" s="6" t="s">
        <v>1304</v>
      </c>
      <c r="F898" s="6" t="s">
        <v>3535</v>
      </c>
      <c r="G898" s="6" t="s">
        <v>1306</v>
      </c>
    </row>
    <row r="899" spans="1:7" ht="69.95" customHeight="1">
      <c r="A899" s="6" t="s">
        <v>3508</v>
      </c>
      <c r="B899" s="6" t="s">
        <v>1472</v>
      </c>
      <c r="C899" s="6" t="s">
        <v>1465</v>
      </c>
      <c r="D899" s="6" t="s">
        <v>1466</v>
      </c>
      <c r="E899" s="6" t="s">
        <v>1304</v>
      </c>
      <c r="F899" s="6" t="s">
        <v>3536</v>
      </c>
      <c r="G899" s="6" t="s">
        <v>1306</v>
      </c>
    </row>
    <row r="900" spans="1:7" ht="69.95" customHeight="1">
      <c r="A900" s="6" t="s">
        <v>3508</v>
      </c>
      <c r="B900" s="6" t="s">
        <v>1693</v>
      </c>
      <c r="C900" s="6" t="s">
        <v>1465</v>
      </c>
      <c r="D900" s="6" t="s">
        <v>1466</v>
      </c>
      <c r="E900" s="6" t="s">
        <v>1304</v>
      </c>
      <c r="F900" s="6" t="s">
        <v>3537</v>
      </c>
      <c r="G900" s="6" t="s">
        <v>1306</v>
      </c>
    </row>
    <row r="901" spans="1:7" ht="69.95" customHeight="1">
      <c r="A901" s="6" t="s">
        <v>3508</v>
      </c>
      <c r="B901" s="6" t="s">
        <v>2261</v>
      </c>
      <c r="C901" s="6" t="s">
        <v>1465</v>
      </c>
      <c r="D901" s="6" t="s">
        <v>1466</v>
      </c>
      <c r="E901" s="6" t="s">
        <v>1304</v>
      </c>
      <c r="F901" s="6" t="s">
        <v>3538</v>
      </c>
      <c r="G901" s="6" t="s">
        <v>1306</v>
      </c>
    </row>
    <row r="902" spans="1:7" ht="69.95" customHeight="1">
      <c r="A902" s="6" t="s">
        <v>3508</v>
      </c>
      <c r="B902" s="6" t="s">
        <v>1697</v>
      </c>
      <c r="C902" s="6" t="s">
        <v>1465</v>
      </c>
      <c r="D902" s="6" t="s">
        <v>1466</v>
      </c>
      <c r="E902" s="6" t="s">
        <v>1304</v>
      </c>
      <c r="F902" s="6" t="s">
        <v>3539</v>
      </c>
      <c r="G902" s="6" t="s">
        <v>1306</v>
      </c>
    </row>
    <row r="903" spans="1:7" ht="69.95" customHeight="1">
      <c r="A903" s="6" t="s">
        <v>3508</v>
      </c>
      <c r="B903" s="6" t="s">
        <v>2266</v>
      </c>
      <c r="C903" s="6" t="s">
        <v>1465</v>
      </c>
      <c r="D903" s="6" t="s">
        <v>1466</v>
      </c>
      <c r="E903" s="6" t="s">
        <v>1304</v>
      </c>
      <c r="F903" s="6" t="s">
        <v>3540</v>
      </c>
      <c r="G903" s="6" t="s">
        <v>1306</v>
      </c>
    </row>
    <row r="904" spans="1:7" ht="69.95" customHeight="1">
      <c r="A904" s="6" t="s">
        <v>3508</v>
      </c>
      <c r="B904" s="6" t="s">
        <v>1474</v>
      </c>
      <c r="C904" s="6" t="s">
        <v>1465</v>
      </c>
      <c r="D904" s="6" t="s">
        <v>1466</v>
      </c>
      <c r="E904" s="6" t="s">
        <v>1304</v>
      </c>
      <c r="F904" s="6" t="s">
        <v>3541</v>
      </c>
      <c r="G904" s="6" t="s">
        <v>1306</v>
      </c>
    </row>
    <row r="905" spans="1:7" ht="69.95" customHeight="1">
      <c r="A905" s="6" t="s">
        <v>3508</v>
      </c>
      <c r="B905" s="6" t="s">
        <v>1476</v>
      </c>
      <c r="C905" s="6" t="s">
        <v>1465</v>
      </c>
      <c r="D905" s="6" t="s">
        <v>1466</v>
      </c>
      <c r="E905" s="6" t="s">
        <v>1304</v>
      </c>
      <c r="F905" s="6" t="s">
        <v>3542</v>
      </c>
      <c r="G905" s="6" t="s">
        <v>1306</v>
      </c>
    </row>
    <row r="906" spans="1:7" ht="69.95" customHeight="1">
      <c r="A906" s="6" t="s">
        <v>3508</v>
      </c>
      <c r="B906" s="6" t="s">
        <v>1482</v>
      </c>
      <c r="C906" s="6" t="s">
        <v>1465</v>
      </c>
      <c r="D906" s="6" t="s">
        <v>1466</v>
      </c>
      <c r="E906" s="6" t="s">
        <v>1304</v>
      </c>
      <c r="F906" s="6" t="s">
        <v>3543</v>
      </c>
      <c r="G906" s="6" t="s">
        <v>1306</v>
      </c>
    </row>
    <row r="907" spans="1:7" ht="69.95" customHeight="1">
      <c r="A907" s="6" t="s">
        <v>3544</v>
      </c>
      <c r="B907" s="6" t="s">
        <v>3545</v>
      </c>
      <c r="C907" s="6" t="s">
        <v>3546</v>
      </c>
      <c r="D907" s="6" t="s">
        <v>1303</v>
      </c>
      <c r="E907" s="6" t="s">
        <v>1304</v>
      </c>
      <c r="F907" s="6" t="s">
        <v>3547</v>
      </c>
      <c r="G907" s="6" t="s">
        <v>1306</v>
      </c>
    </row>
    <row r="908" spans="1:7" ht="69.95" customHeight="1">
      <c r="A908" s="6" t="s">
        <v>3544</v>
      </c>
      <c r="B908" s="6" t="s">
        <v>3548</v>
      </c>
      <c r="C908" s="6" t="s">
        <v>3549</v>
      </c>
      <c r="D908" s="6" t="s">
        <v>1303</v>
      </c>
      <c r="E908" s="6" t="s">
        <v>1304</v>
      </c>
      <c r="F908" s="6" t="s">
        <v>3550</v>
      </c>
      <c r="G908" s="6" t="s">
        <v>1306</v>
      </c>
    </row>
    <row r="909" spans="1:7" ht="69.95" customHeight="1">
      <c r="A909" s="6" t="s">
        <v>3544</v>
      </c>
      <c r="B909" s="6" t="s">
        <v>3551</v>
      </c>
      <c r="C909" s="6" t="s">
        <v>3552</v>
      </c>
      <c r="D909" s="6" t="s">
        <v>1303</v>
      </c>
      <c r="E909" s="6" t="s">
        <v>1304</v>
      </c>
      <c r="F909" s="6" t="s">
        <v>3553</v>
      </c>
      <c r="G909" s="6" t="s">
        <v>1306</v>
      </c>
    </row>
    <row r="910" spans="1:7" ht="69.95" customHeight="1">
      <c r="A910" s="6" t="s">
        <v>3544</v>
      </c>
      <c r="B910" s="6" t="s">
        <v>3554</v>
      </c>
      <c r="C910" s="6" t="s">
        <v>3555</v>
      </c>
      <c r="D910" s="6" t="s">
        <v>1303</v>
      </c>
      <c r="E910" s="6" t="s">
        <v>1304</v>
      </c>
      <c r="F910" s="6" t="s">
        <v>3556</v>
      </c>
      <c r="G910" s="6" t="s">
        <v>1306</v>
      </c>
    </row>
    <row r="911" spans="1:7" ht="69.95" customHeight="1">
      <c r="A911" s="6" t="s">
        <v>3544</v>
      </c>
      <c r="B911" s="6" t="s">
        <v>3557</v>
      </c>
      <c r="C911" s="6" t="s">
        <v>3558</v>
      </c>
      <c r="D911" s="6" t="s">
        <v>1303</v>
      </c>
      <c r="E911" s="6" t="s">
        <v>1304</v>
      </c>
      <c r="F911" s="6" t="s">
        <v>3559</v>
      </c>
      <c r="G911" s="6" t="s">
        <v>1306</v>
      </c>
    </row>
    <row r="912" spans="1:7" ht="69.95" customHeight="1">
      <c r="A912" s="6" t="s">
        <v>3544</v>
      </c>
      <c r="B912" s="6" t="s">
        <v>3560</v>
      </c>
      <c r="C912" s="6" t="s">
        <v>3561</v>
      </c>
      <c r="D912" s="6" t="s">
        <v>1303</v>
      </c>
      <c r="E912" s="6" t="s">
        <v>1304</v>
      </c>
      <c r="F912" s="6" t="s">
        <v>3562</v>
      </c>
      <c r="G912" s="6" t="s">
        <v>1306</v>
      </c>
    </row>
    <row r="913" spans="1:7" ht="69.95" customHeight="1">
      <c r="A913" s="6" t="s">
        <v>3544</v>
      </c>
      <c r="B913" s="6" t="s">
        <v>3563</v>
      </c>
      <c r="C913" s="6" t="s">
        <v>3564</v>
      </c>
      <c r="D913" s="6" t="s">
        <v>1303</v>
      </c>
      <c r="E913" s="6" t="s">
        <v>1304</v>
      </c>
      <c r="F913" s="6" t="s">
        <v>3565</v>
      </c>
      <c r="G913" s="6" t="s">
        <v>1306</v>
      </c>
    </row>
    <row r="914" spans="1:7" ht="69.95" customHeight="1">
      <c r="A914" s="6" t="s">
        <v>3544</v>
      </c>
      <c r="B914" s="6" t="s">
        <v>3566</v>
      </c>
      <c r="C914" s="6" t="s">
        <v>3567</v>
      </c>
      <c r="D914" s="6" t="s">
        <v>1303</v>
      </c>
      <c r="E914" s="6" t="s">
        <v>1304</v>
      </c>
      <c r="F914" s="6" t="s">
        <v>3568</v>
      </c>
      <c r="G914" s="6" t="s">
        <v>1306</v>
      </c>
    </row>
    <row r="915" spans="1:7" ht="69.95" customHeight="1">
      <c r="A915" s="6" t="s">
        <v>3544</v>
      </c>
      <c r="B915" s="6" t="s">
        <v>3569</v>
      </c>
      <c r="C915" s="6" t="s">
        <v>3570</v>
      </c>
      <c r="D915" s="6" t="s">
        <v>1303</v>
      </c>
      <c r="E915" s="6" t="s">
        <v>1304</v>
      </c>
      <c r="F915" s="6" t="s">
        <v>3571</v>
      </c>
      <c r="G915" s="6" t="s">
        <v>1306</v>
      </c>
    </row>
    <row r="916" spans="1:7" ht="69.95" customHeight="1">
      <c r="A916" s="6" t="s">
        <v>3544</v>
      </c>
      <c r="B916" s="6" t="s">
        <v>3572</v>
      </c>
      <c r="C916" s="6" t="s">
        <v>3573</v>
      </c>
      <c r="D916" s="6" t="s">
        <v>1303</v>
      </c>
      <c r="E916" s="6" t="s">
        <v>1304</v>
      </c>
      <c r="F916" s="6" t="s">
        <v>3574</v>
      </c>
      <c r="G916" s="6" t="s">
        <v>1306</v>
      </c>
    </row>
    <row r="917" spans="1:7" ht="69.95" customHeight="1">
      <c r="A917" s="6" t="s">
        <v>3544</v>
      </c>
      <c r="B917" s="6" t="s">
        <v>3575</v>
      </c>
      <c r="C917" s="6" t="s">
        <v>3576</v>
      </c>
      <c r="D917" s="6" t="s">
        <v>1303</v>
      </c>
      <c r="E917" s="6" t="s">
        <v>1304</v>
      </c>
      <c r="F917" s="6" t="s">
        <v>3577</v>
      </c>
      <c r="G917" s="6" t="s">
        <v>1306</v>
      </c>
    </row>
    <row r="918" spans="1:7" ht="69.95" customHeight="1">
      <c r="A918" s="6" t="s">
        <v>3544</v>
      </c>
      <c r="B918" s="6" t="s">
        <v>3578</v>
      </c>
      <c r="C918" s="6" t="s">
        <v>3579</v>
      </c>
      <c r="D918" s="6" t="s">
        <v>1303</v>
      </c>
      <c r="E918" s="6" t="s">
        <v>1304</v>
      </c>
      <c r="F918" s="6" t="s">
        <v>3580</v>
      </c>
      <c r="G918" s="6" t="s">
        <v>1306</v>
      </c>
    </row>
    <row r="919" spans="1:7" ht="69.95" customHeight="1">
      <c r="A919" s="6" t="s">
        <v>3544</v>
      </c>
      <c r="B919" s="6" t="s">
        <v>3581</v>
      </c>
      <c r="C919" s="6" t="s">
        <v>3582</v>
      </c>
      <c r="D919" s="6" t="s">
        <v>1303</v>
      </c>
      <c r="E919" s="6" t="s">
        <v>1304</v>
      </c>
      <c r="F919" s="6" t="s">
        <v>3583</v>
      </c>
      <c r="G919" s="6" t="s">
        <v>1306</v>
      </c>
    </row>
    <row r="920" spans="1:7" ht="69.95" customHeight="1">
      <c r="A920" s="6" t="s">
        <v>3544</v>
      </c>
      <c r="B920" s="6" t="s">
        <v>3584</v>
      </c>
      <c r="C920" s="6" t="s">
        <v>3585</v>
      </c>
      <c r="D920" s="6" t="s">
        <v>1303</v>
      </c>
      <c r="E920" s="6" t="s">
        <v>1304</v>
      </c>
      <c r="F920" s="6" t="s">
        <v>3586</v>
      </c>
      <c r="G920" s="6" t="s">
        <v>1306</v>
      </c>
    </row>
    <row r="921" spans="1:7" ht="69.95" customHeight="1">
      <c r="A921" s="6" t="s">
        <v>3544</v>
      </c>
      <c r="B921" s="6" t="s">
        <v>3587</v>
      </c>
      <c r="C921" s="6" t="s">
        <v>3588</v>
      </c>
      <c r="D921" s="6" t="s">
        <v>1303</v>
      </c>
      <c r="E921" s="6" t="s">
        <v>1304</v>
      </c>
      <c r="F921" s="6" t="s">
        <v>3589</v>
      </c>
      <c r="G921" s="6" t="s">
        <v>1306</v>
      </c>
    </row>
    <row r="922" spans="1:7" ht="69.95" customHeight="1">
      <c r="A922" s="6" t="s">
        <v>3590</v>
      </c>
      <c r="B922" s="6" t="s">
        <v>3590</v>
      </c>
      <c r="C922" s="6" t="s">
        <v>3591</v>
      </c>
      <c r="D922" s="6" t="s">
        <v>1303</v>
      </c>
      <c r="E922" s="6" t="s">
        <v>1304</v>
      </c>
      <c r="F922" s="6" t="s">
        <v>3592</v>
      </c>
      <c r="G922" s="6" t="s">
        <v>1306</v>
      </c>
    </row>
    <row r="923" spans="1:7" ht="69.95" customHeight="1">
      <c r="A923" s="6" t="s">
        <v>3590</v>
      </c>
      <c r="B923" s="6" t="s">
        <v>3593</v>
      </c>
      <c r="C923" s="6" t="s">
        <v>3594</v>
      </c>
      <c r="D923" s="6" t="s">
        <v>1303</v>
      </c>
      <c r="E923" s="6" t="s">
        <v>1304</v>
      </c>
      <c r="F923" s="6" t="s">
        <v>3595</v>
      </c>
      <c r="G923" s="6" t="s">
        <v>1306</v>
      </c>
    </row>
    <row r="924" spans="1:7" ht="69.95" customHeight="1">
      <c r="A924" s="6" t="s">
        <v>3590</v>
      </c>
      <c r="B924" s="6" t="s">
        <v>3596</v>
      </c>
      <c r="C924" s="6" t="s">
        <v>3597</v>
      </c>
      <c r="D924" s="6" t="s">
        <v>1303</v>
      </c>
      <c r="E924" s="6" t="s">
        <v>1304</v>
      </c>
      <c r="F924" s="6" t="s">
        <v>3598</v>
      </c>
      <c r="G924" s="6" t="s">
        <v>1306</v>
      </c>
    </row>
    <row r="925" spans="1:7" ht="69.95" customHeight="1">
      <c r="A925" s="6" t="s">
        <v>3590</v>
      </c>
      <c r="B925" s="6" t="s">
        <v>3599</v>
      </c>
      <c r="C925" s="6" t="s">
        <v>3600</v>
      </c>
      <c r="D925" s="6" t="s">
        <v>1303</v>
      </c>
      <c r="E925" s="6" t="s">
        <v>1304</v>
      </c>
      <c r="F925" s="6" t="s">
        <v>3601</v>
      </c>
      <c r="G925" s="6" t="s">
        <v>1306</v>
      </c>
    </row>
    <row r="926" spans="1:7" ht="69.95" customHeight="1">
      <c r="A926" s="6" t="s">
        <v>3590</v>
      </c>
      <c r="B926" s="6" t="s">
        <v>3602</v>
      </c>
      <c r="C926" s="6" t="s">
        <v>3402</v>
      </c>
      <c r="D926" s="6" t="s">
        <v>1303</v>
      </c>
      <c r="E926" s="6" t="s">
        <v>1304</v>
      </c>
      <c r="F926" s="6" t="s">
        <v>3603</v>
      </c>
      <c r="G926" s="6" t="s">
        <v>1306</v>
      </c>
    </row>
    <row r="927" spans="1:7" ht="69.95" customHeight="1">
      <c r="A927" s="6" t="s">
        <v>3590</v>
      </c>
      <c r="B927" s="6" t="s">
        <v>3604</v>
      </c>
      <c r="C927" s="6" t="s">
        <v>3605</v>
      </c>
      <c r="D927" s="6" t="s">
        <v>1303</v>
      </c>
      <c r="E927" s="6" t="s">
        <v>1304</v>
      </c>
      <c r="F927" s="6" t="s">
        <v>3606</v>
      </c>
      <c r="G927" s="6" t="s">
        <v>1306</v>
      </c>
    </row>
    <row r="928" spans="1:7" ht="69.95" customHeight="1">
      <c r="A928" s="6" t="s">
        <v>3590</v>
      </c>
      <c r="B928" s="6" t="s">
        <v>3607</v>
      </c>
      <c r="C928" s="6" t="s">
        <v>3608</v>
      </c>
      <c r="D928" s="6" t="s">
        <v>1303</v>
      </c>
      <c r="E928" s="6" t="s">
        <v>1304</v>
      </c>
      <c r="F928" s="6" t="s">
        <v>3609</v>
      </c>
      <c r="G928" s="6" t="s">
        <v>1306</v>
      </c>
    </row>
    <row r="929" spans="1:7" ht="69.95" customHeight="1">
      <c r="A929" s="6" t="s">
        <v>3590</v>
      </c>
      <c r="B929" s="6" t="s">
        <v>3610</v>
      </c>
      <c r="C929" s="6" t="s">
        <v>3611</v>
      </c>
      <c r="D929" s="6" t="s">
        <v>1303</v>
      </c>
      <c r="E929" s="6" t="s">
        <v>1304</v>
      </c>
      <c r="F929" s="6" t="s">
        <v>3612</v>
      </c>
      <c r="G929" s="6" t="s">
        <v>1306</v>
      </c>
    </row>
    <row r="930" spans="1:7" ht="69.95" customHeight="1">
      <c r="A930" s="6" t="s">
        <v>3590</v>
      </c>
      <c r="B930" s="6" t="s">
        <v>3613</v>
      </c>
      <c r="C930" s="6" t="s">
        <v>3614</v>
      </c>
      <c r="D930" s="6" t="s">
        <v>1303</v>
      </c>
      <c r="E930" s="6" t="s">
        <v>1304</v>
      </c>
      <c r="F930" s="6" t="s">
        <v>3615</v>
      </c>
      <c r="G930" s="6" t="s">
        <v>1306</v>
      </c>
    </row>
    <row r="931" spans="1:7" ht="69.95" customHeight="1">
      <c r="A931" s="6" t="s">
        <v>3590</v>
      </c>
      <c r="B931" s="6" t="s">
        <v>3421</v>
      </c>
      <c r="C931" s="6" t="s">
        <v>3422</v>
      </c>
      <c r="D931" s="6" t="s">
        <v>1303</v>
      </c>
      <c r="E931" s="6" t="s">
        <v>1304</v>
      </c>
      <c r="F931" s="6" t="s">
        <v>3616</v>
      </c>
      <c r="G931" s="6" t="s">
        <v>1306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25"/>
  <sheetViews>
    <sheetView showGridLines="0" rightToLeft="1" zoomScale="85" workbookViewId="0">
      <selection activeCell="A6" sqref="A6:B23"/>
    </sheetView>
  </sheetViews>
  <sheetFormatPr defaultRowHeight="14.25"/>
  <cols>
    <col min="1" max="1" width="30" customWidth="1"/>
    <col min="2" max="2" width="125" customWidth="1"/>
  </cols>
  <sheetData>
    <row r="1" spans="1:2">
      <c r="A1" s="1"/>
      <c r="B1" s="1"/>
    </row>
    <row r="2" spans="1:2" ht="30" customHeight="1">
      <c r="A2" s="2" t="s">
        <v>3617</v>
      </c>
      <c r="B2" s="1"/>
    </row>
    <row r="3" spans="1:2">
      <c r="A3" s="1"/>
      <c r="B3" s="1"/>
    </row>
    <row r="4" spans="1:2">
      <c r="A4" s="1"/>
      <c r="B4" s="1"/>
    </row>
    <row r="5" spans="1:2" ht="30" customHeight="1">
      <c r="A5" s="4" t="s">
        <v>3618</v>
      </c>
      <c r="B5" s="4" t="s">
        <v>3619</v>
      </c>
    </row>
    <row r="6" spans="1:2" ht="65.099999999999994" customHeight="1">
      <c r="A6" s="6" t="s">
        <v>3620</v>
      </c>
      <c r="B6" s="6" t="s">
        <v>3621</v>
      </c>
    </row>
    <row r="7" spans="1:2" ht="65.099999999999994" customHeight="1">
      <c r="A7" s="6" t="s">
        <v>3622</v>
      </c>
      <c r="B7" s="6" t="s">
        <v>3623</v>
      </c>
    </row>
    <row r="8" spans="1:2" ht="65.099999999999994" customHeight="1">
      <c r="A8" s="6" t="s">
        <v>3624</v>
      </c>
      <c r="B8" s="6" t="s">
        <v>3625</v>
      </c>
    </row>
    <row r="9" spans="1:2" ht="65.099999999999994" customHeight="1">
      <c r="A9" s="6" t="s">
        <v>3626</v>
      </c>
      <c r="B9" s="6" t="s">
        <v>3627</v>
      </c>
    </row>
    <row r="10" spans="1:2" ht="65.099999999999994" customHeight="1">
      <c r="A10" s="6" t="s">
        <v>3628</v>
      </c>
      <c r="B10" s="6" t="s">
        <v>3629</v>
      </c>
    </row>
    <row r="11" spans="1:2" ht="65.099999999999994" customHeight="1">
      <c r="A11" s="6" t="s">
        <v>3630</v>
      </c>
      <c r="B11" s="6" t="s">
        <v>3631</v>
      </c>
    </row>
    <row r="12" spans="1:2" ht="65.099999999999994" customHeight="1">
      <c r="A12" s="6" t="s">
        <v>3632</v>
      </c>
      <c r="B12" s="6" t="s">
        <v>3633</v>
      </c>
    </row>
    <row r="13" spans="1:2" ht="65.099999999999994" customHeight="1">
      <c r="A13" s="6" t="s">
        <v>3634</v>
      </c>
      <c r="B13" s="6" t="s">
        <v>3635</v>
      </c>
    </row>
    <row r="14" spans="1:2" ht="65.099999999999994" customHeight="1">
      <c r="A14" s="6" t="s">
        <v>4</v>
      </c>
      <c r="B14" s="6" t="s">
        <v>3636</v>
      </c>
    </row>
    <row r="15" spans="1:2" ht="65.099999999999994" customHeight="1">
      <c r="A15" s="6" t="s">
        <v>5</v>
      </c>
      <c r="B15" s="6" t="s">
        <v>3637</v>
      </c>
    </row>
    <row r="16" spans="1:2" ht="65.099999999999994" customHeight="1">
      <c r="A16" s="6" t="s">
        <v>6</v>
      </c>
      <c r="B16" s="6" t="s">
        <v>3638</v>
      </c>
    </row>
    <row r="17" spans="1:2" ht="65.099999999999994" customHeight="1">
      <c r="A17" s="6" t="s">
        <v>7</v>
      </c>
      <c r="B17" s="6" t="s">
        <v>3639</v>
      </c>
    </row>
    <row r="18" spans="1:2" ht="65.099999999999994" customHeight="1">
      <c r="A18" s="6" t="s">
        <v>8</v>
      </c>
      <c r="B18" s="6" t="s">
        <v>3640</v>
      </c>
    </row>
    <row r="19" spans="1:2" ht="65.099999999999994" customHeight="1">
      <c r="A19" s="6" t="s">
        <v>3641</v>
      </c>
      <c r="B19" s="6" t="s">
        <v>3642</v>
      </c>
    </row>
    <row r="20" spans="1:2" ht="65.099999999999994" customHeight="1">
      <c r="A20" s="6" t="s">
        <v>3643</v>
      </c>
      <c r="B20" s="6" t="s">
        <v>3644</v>
      </c>
    </row>
    <row r="21" spans="1:2" ht="65.099999999999994" customHeight="1">
      <c r="A21" s="6" t="s">
        <v>3645</v>
      </c>
      <c r="B21" s="6" t="s">
        <v>3646</v>
      </c>
    </row>
    <row r="22" spans="1:2" ht="65.099999999999994" customHeight="1">
      <c r="A22" s="6" t="s">
        <v>3647</v>
      </c>
      <c r="B22" s="6" t="s">
        <v>3648</v>
      </c>
    </row>
    <row r="23" spans="1:2" ht="65.099999999999994" customHeight="1">
      <c r="A23" s="6" t="s">
        <v>3649</v>
      </c>
      <c r="B23" s="6" t="s">
        <v>3650</v>
      </c>
    </row>
    <row r="24" spans="1:2" ht="65.099999999999994" customHeight="1">
      <c r="A24" s="6" t="s">
        <v>3651</v>
      </c>
      <c r="B24" s="6" t="s">
        <v>3652</v>
      </c>
    </row>
    <row r="25" spans="1:2" ht="65.099999999999994" customHeight="1">
      <c r="A25" s="6" t="s">
        <v>3653</v>
      </c>
      <c r="B25" s="6" t="s">
        <v>3654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ملخص التنفيذ</vt:lpstr>
      <vt:lpstr>الدخول</vt:lpstr>
      <vt:lpstr>البيانات الأساسية</vt:lpstr>
      <vt:lpstr>المتعاملون</vt:lpstr>
      <vt:lpstr>الأصناف</vt:lpstr>
      <vt:lpstr>المبيعات</vt:lpstr>
      <vt:lpstr>المشتريات</vt:lpstr>
      <vt:lpstr>المخازن</vt:lpstr>
      <vt:lpstr>الحركات المالية</vt:lpstr>
      <vt:lpstr>القيود اليومية</vt:lpstr>
      <vt:lpstr>تكامل مقترح</vt:lpstr>
      <vt:lpstr>تتبع الأوتوميشن</vt:lpstr>
      <vt:lpstr>دليل الاستخدام</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 19218</cp:lastModifiedBy>
  <dcterms:modified xsi:type="dcterms:W3CDTF">2026-10-20T11:15:41Z</dcterms:modified>
</cp:coreProperties>
</file>